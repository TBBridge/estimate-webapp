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7096" windowHeight="16296" activeTab="3"/>
  </bookViews>
  <sheets>
    <sheet sheetId="1" name="設定情報" state="visible" r:id="rId4"/>
    <sheet sheetId="2" name="表紙" state="visible" r:id="rId5"/>
    <sheet sheetId="3" name="ライセンス" state="visible" r:id="rId6"/>
    <sheet sheetId="4" name="保守料" state="visible" r:id="rId7"/>
  </sheets>
  <definedNames>
    <definedName name="_xlnm.Print_Area" localSheetId="1">'表紙'!$A1:$F47</definedName>
    <definedName name="_xlnm.Print_Area" localSheetId="2">'ライセンス'!$A1:$G60</definedName>
    <definedName name="_xlnm.Print_Area" localSheetId="3">'保守料'!$A1:$G59</definedName>
  </definedNames>
  <calcPr calcId="171027"/>
</workbook>
</file>

<file path=xl/sharedStrings.xml><?xml version="1.0" encoding="utf-8"?>
<sst xmlns="http://schemas.openxmlformats.org/spreadsheetml/2006/main" count="187" uniqueCount="126">
  <si>
    <t>見積基本情報</t>
  </si>
  <si>
    <t>設定項目</t>
  </si>
  <si>
    <t>入力値</t>
  </si>
  <si>
    <t>備考</t>
  </si>
  <si>
    <t>代理店マスタ（メンテナンス可能）</t>
  </si>
  <si>
    <t>見積作成日</t>
  </si>
  <si>
    <t>ライセンス</t>
  </si>
  <si>
    <t>保守</t>
  </si>
  <si>
    <t>音声ライセンス</t>
  </si>
  <si>
    <t>代理店名</t>
  </si>
  <si>
    <t>To: PT KDDI Indonesia</t>
  </si>
  <si>
    <t>Panasonic</t>
  </si>
  <si>
    <t>At the end of next month of delivery date</t>
  </si>
  <si>
    <t>エンドユーザ名①</t>
  </si>
  <si>
    <t>For:PT Minda ASEAN Automotive</t>
  </si>
  <si>
    <t>KDDI</t>
  </si>
  <si>
    <t>エンドユーザ名②</t>
  </si>
  <si>
    <t xml:space="preserve">　</t>
  </si>
  <si>
    <t xml:space="preserve">※商流が長い場合、2行目に記載
（スペースを入れておく）</t>
  </si>
  <si>
    <t>DENTSU SOKEN</t>
  </si>
  <si>
    <t>代理店種別</t>
  </si>
  <si>
    <t>Tomas Tech</t>
  </si>
  <si>
    <t>ライセンス仕切率</t>
  </si>
  <si>
    <t>大塚台湾</t>
  </si>
  <si>
    <t>保守仕切率</t>
  </si>
  <si>
    <t>SOLPAC</t>
  </si>
  <si>
    <t>音声 保守仕切率</t>
  </si>
  <si>
    <t>Design lab</t>
  </si>
  <si>
    <t>ライセンス支払い条件</t>
  </si>
  <si>
    <t>Peto</t>
  </si>
  <si>
    <t>ライセンス証発行月末締め翌月末現金お支払い</t>
  </si>
  <si>
    <t>保守支払い条件</t>
  </si>
  <si>
    <t>AQM</t>
  </si>
  <si>
    <t>JOBNo</t>
  </si>
  <si>
    <t>S-25-00398</t>
  </si>
  <si>
    <t>Kintonの営業管理Noを記入する</t>
  </si>
  <si>
    <t>D</t>
  </si>
  <si>
    <t>枝番</t>
  </si>
  <si>
    <t>001</t>
  </si>
  <si>
    <t>E</t>
  </si>
  <si>
    <t>見積有効期限</t>
  </si>
  <si>
    <t>F</t>
  </si>
  <si>
    <t>オンプレ版 見積条件</t>
  </si>
  <si>
    <t>G</t>
  </si>
  <si>
    <t>H</t>
  </si>
  <si>
    <t>ライセンス数</t>
  </si>
  <si>
    <t>I</t>
  </si>
  <si>
    <t>ライセンス費用</t>
  </si>
  <si>
    <t>保守費用</t>
  </si>
  <si>
    <t>パッケージ</t>
  </si>
  <si>
    <t>オプション有無①</t>
  </si>
  <si>
    <t>オプションなし</t>
  </si>
  <si>
    <t>オプション費用①</t>
  </si>
  <si>
    <t>保守①</t>
  </si>
  <si>
    <t>オプション有無②</t>
  </si>
  <si>
    <t>オプション費用②</t>
  </si>
  <si>
    <t>タクシーあり</t>
  </si>
  <si>
    <t>オプション有無③</t>
  </si>
  <si>
    <t>音声なし</t>
  </si>
  <si>
    <t>タクシーなし</t>
  </si>
  <si>
    <t>ライセンス数③</t>
  </si>
  <si>
    <t>費用③</t>
  </si>
  <si>
    <t>保守③</t>
  </si>
  <si>
    <t>オプション有無④</t>
  </si>
  <si>
    <t>IoTなし</t>
  </si>
  <si>
    <t>ライセンス④</t>
  </si>
  <si>
    <t>費用④</t>
  </si>
  <si>
    <t>保守④</t>
  </si>
  <si>
    <t>作業交通費</t>
  </si>
  <si>
    <t>最寄り駅</t>
  </si>
  <si>
    <t>JR恵比寿駅</t>
  </si>
  <si>
    <t>お客様最寄り駅を記入</t>
  </si>
  <si>
    <t>交通費（片道）</t>
  </si>
  <si>
    <t>宿泊数</t>
  </si>
  <si>
    <t>タクシー有無</t>
  </si>
  <si>
    <t>タクシー費用</t>
  </si>
  <si>
    <t>500以上の場合はこちらに価格表から値を書き換えてください→</t>
  </si>
  <si>
    <t>Web API Module Set (for external system coordination)</t>
  </si>
  <si>
    <t>i-Repo Link</t>
  </si>
  <si>
    <t>ConMas IoT standard版</t>
  </si>
  <si>
    <t>ConMas IoT professional版</t>
  </si>
  <si>
    <t>ConMas IoT MappingTOOL</t>
  </si>
  <si>
    <t>QUOTATION</t>
  </si>
  <si>
    <t>2026-03-12</t>
  </si>
  <si>
    <t>テスト代理店</t>
  </si>
  <si>
    <t>テスト顧客HH</t>
  </si>
  <si>
    <t>Quotation Summary</t>
  </si>
  <si>
    <t>No.</t>
  </si>
  <si>
    <t>Software name and specification</t>
  </si>
  <si>
    <t>Payment Term</t>
  </si>
  <si>
    <t>Ⅰ．</t>
  </si>
  <si>
    <t xml:space="preserve"> i-Reporter On-premise Package Version</t>
  </si>
  <si>
    <t>T.B.C</t>
  </si>
  <si>
    <t xml:space="preserve"> i-Reporter Annual Maintenance Fee</t>
  </si>
  <si>
    <t>Remarks）</t>
  </si>
  <si>
    <t>The following price is effective from January 1st,2026</t>
  </si>
  <si>
    <t>Item</t>
  </si>
  <si>
    <t>Q'ty</t>
  </si>
  <si>
    <t>Unit</t>
  </si>
  <si>
    <t>Price</t>
  </si>
  <si>
    <t>Amount</t>
  </si>
  <si>
    <t>Basic Package</t>
  </si>
  <si>
    <t>i-Reporter On-premise License Version</t>
  </si>
  <si>
    <t>set(s)</t>
  </si>
  <si>
    <t>&lt;License configuration&gt;</t>
  </si>
  <si>
    <t>ConMas Server　(Web Application and ConMas DB(PostgreSQL))</t>
  </si>
  <si>
    <t xml:space="preserve">ConMas Manager　(Web Application)　</t>
  </si>
  <si>
    <t>ConMas Designer（Windows Native Application）</t>
  </si>
  <si>
    <t>iPad/iPhone App. / Windows App.</t>
  </si>
  <si>
    <t xml:space="preserve">  ※iPad/iPhone App. is downloaded from AppStore as free of charge.</t>
  </si>
  <si>
    <t xml:space="preserve">  ※Windows App. is downloaded from Support WEB.</t>
  </si>
  <si>
    <t xml:space="preserve">  ※Log-in user ID and passward is required to use ConMas Manager, Designer, 
       iPad, iPhone, and Windows App.
    </t>
  </si>
  <si>
    <t xml:space="preserve">  ※No limitation for the number of installing ConMas Designer to Windows PC.</t>
  </si>
  <si>
    <t xml:space="preserve">  ※No limitation for the number of installing App. of iPad/iPhone,Windows tablet.</t>
  </si>
  <si>
    <t>Option Module</t>
  </si>
  <si>
    <t>Discount for partner</t>
  </si>
  <si>
    <t>G Total</t>
  </si>
  <si>
    <t>TAKASHI MIZUNO</t>
  </si>
  <si>
    <t>PRESIDENT &amp; CEO</t>
  </si>
  <si>
    <t>i-Reporter　Annual Maintenance Fee （From the first year）</t>
  </si>
  <si>
    <t>Software License Charge ×１５％</t>
  </si>
  <si>
    <t>Maintenance period：1 year from the date after 3 months of license delivery month.</t>
  </si>
  <si>
    <t>Annual maintenance fee must be paid with the license fee.</t>
  </si>
  <si>
    <t>Please place the order for the annual maintenance fee same timing with the software license.</t>
  </si>
  <si>
    <t>Year</t>
  </si>
  <si>
    <t>G.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</si>
</sst>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NO. TIC&quot;"/>
    <numFmt numFmtId="165" formatCode="@&quot; 御中&quot;"/>
    <numFmt numFmtId="166" formatCode="&quot;NO. M&quot;0000&quot;-1&quot;"/>
    <numFmt numFmtId="167" formatCode="&quot;NO. &quot;00000"/>
    <numFmt numFmtId="168" formatCode="&quot;納 入 期 日 ： &quot;@"/>
    <numFmt numFmtId="169" formatCode="&quot;合 計 &quot;&quot;¥&quot;#,##0&quot;.-(税別）&quot;;&quot;¥&quot;&quot;△&quot;#,##0&quot;.-(税別）&quot;"/>
    <numFmt numFmtId="170" formatCode="&quot;¥&quot;#,##0;&quot;¥&quot;-#,##0"/>
    <numFmt numFmtId="171" formatCode="_ * #,##0&quot;  &quot; ;_ * &quot;△&quot;#,##0&quot;  &quot; ;_ * &quot; &quot;_ ;_ @_ "/>
    <numFmt numFmtId="172" formatCode="&quot;¥&quot;#,##0_);[Red](&quot;¥&quot;#,##0)"/>
    <numFmt numFmtId="173" formatCode="&quot;Delivery Date ： &quot;@"/>
    <numFmt numFmtId="174" formatCode="&quot;製 造 者 名 ： &quot;@"/>
    <numFmt numFmtId="175" formatCode="&quot;TOTAL AMOUNT &quot;&quot;¥&quot;#,##0&quot;&quot;;&quot;¥&quot;&quot;△&quot;#,##0&quot;.-(税別）&quot;"/>
  </numFmts>
  <fonts count="26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Meiryo"/>
    </font>
    <font>
      <sz val="11"/>
      <name val="Calibri"/>
    </font>
    <font>
      <b/>
      <charset val="128"/>
      <color theme="1"/>
      <family val="3"/>
      <sz val="11"/>
      <name val="Meiryo"/>
    </font>
    <font>
      <b/>
      <color theme="1"/>
      <sz val="11"/>
      <name val="Arial"/>
    </font>
    <font>
      <color theme="1"/>
      <sz val="11"/>
      <name val="Arial"/>
    </font>
    <font>
      <b/>
      <charset val="128"/>
      <color rgb="FF333333"/>
      <family val="3"/>
      <sz val="11"/>
      <name val="Meiryo"/>
    </font>
    <font>
      <b/>
      <charset val="128"/>
      <color rgb="FFFF0000"/>
      <family val="3"/>
      <sz val="11"/>
      <name val="Meiryo"/>
    </font>
    <font>
      <u/>
      <charset val="128"/>
      <color theme="1"/>
      <family val="3"/>
      <sz val="20"/>
      <name val="Meiryo"/>
    </font>
    <font>
      <color rgb="FF000000"/>
      <scheme val="minor"/>
      <sz val="11"/>
      <name val="Calibri"/>
    </font>
    <font>
      <charset val="128"/>
      <color theme="1"/>
      <family val="3"/>
      <sz val="20"/>
      <name val="Meiryo"/>
    </font>
    <font>
      <charset val="128"/>
      <color theme="1"/>
      <family val="3"/>
      <sz val="12"/>
      <name val="Meiryo"/>
    </font>
    <font>
      <u/>
      <charset val="128"/>
      <color theme="1"/>
      <family val="3"/>
      <sz val="16"/>
      <name val="Meiryo"/>
    </font>
    <font>
      <u/>
      <charset val="128"/>
      <color theme="1"/>
      <family val="3"/>
      <sz val="12"/>
      <name val="Meiryo"/>
    </font>
    <font>
      <b/>
      <charset val="128"/>
      <color theme="1"/>
      <family val="3"/>
      <sz val="16"/>
      <name val="Meiryo"/>
    </font>
    <font>
      <charset val="128"/>
      <color rgb="FFFFFFFF"/>
      <family val="3"/>
      <sz val="14"/>
      <name val="Meiryo"/>
    </font>
    <font>
      <charset val="128"/>
      <color theme="1"/>
      <family val="3"/>
      <sz val="14"/>
      <name val="Meiryo"/>
    </font>
    <font>
      <b/>
      <charset val="128"/>
      <color theme="1"/>
      <family val="3"/>
      <sz val="12"/>
      <name val="Meiryo"/>
    </font>
    <font>
      <charset val="128"/>
      <color rgb="FFFF0000"/>
      <family val="3"/>
      <sz val="10"/>
      <name val="Meiryo"/>
    </font>
    <font>
      <charset val="128"/>
      <color theme="1"/>
      <family val="3"/>
      <sz val="10"/>
      <name val="Meiryo"/>
    </font>
    <font>
      <charset val="128"/>
      <color theme="1"/>
      <family val="3"/>
      <sz val="16"/>
      <name val="Meiryo"/>
    </font>
    <font>
      <charset val="128"/>
      <color rgb="FFFF0000"/>
      <family val="3"/>
      <sz val="18"/>
      <name val="Meiryo"/>
    </font>
    <font>
      <charset val="128"/>
      <color rgb="FFFF0000"/>
      <family val="3"/>
      <sz val="12"/>
      <name val="Meiryo"/>
    </font>
    <font>
      <b/>
      <charset val="128"/>
      <color rgb="FFFF0000"/>
      <family val="3"/>
      <sz val="16"/>
      <name val="Meiryo"/>
    </font>
    <font>
      <b/>
      <charset val="128"/>
      <color rgb="FFFF0000"/>
      <family val="3"/>
      <sz val="12"/>
      <name val="Meiryo"/>
    </font>
    <font>
      <charset val="128"/>
      <color theme="1"/>
      <family val="3"/>
      <sz val="11"/>
      <name val="HGP創英角ｺﾞｼｯｸUB"/>
    </font>
  </fonts>
  <fills count="12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EEEEEE"/>
        <bgColor rgb="FFEEEEEE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9" fontId="1" fillId="0" borderId="4" xfId="0" applyNumberFormat="1" applyFont="1" applyBorder="1" applyAlignment="1">
      <alignment vertical="center"/>
    </xf>
    <xf numFmtId="0" fontId="6" fillId="3" borderId="0" xfId="0" applyFont="1" applyFill="1"/>
    <xf numFmtId="0" fontId="7" fillId="0" borderId="4" xfId="0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38" fontId="1" fillId="4" borderId="4" xfId="0" applyNumberFormat="1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vertical="center"/>
    </xf>
    <xf numFmtId="38" fontId="1" fillId="4" borderId="12" xfId="0" applyNumberFormat="1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38" fontId="1" fillId="0" borderId="0" xfId="0" applyNumberFormat="1" applyFont="1" applyAlignment="1">
      <alignment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vertical="center"/>
    </xf>
    <xf numFmtId="0" fontId="1" fillId="7" borderId="10" xfId="0" applyFont="1" applyFill="1" applyBorder="1" applyAlignment="1">
      <alignment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vertical="center"/>
    </xf>
    <xf numFmtId="0" fontId="1" fillId="8" borderId="8" xfId="0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vertical="center"/>
    </xf>
    <xf numFmtId="0" fontId="1" fillId="8" borderId="10" xfId="0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vertical="center"/>
    </xf>
    <xf numFmtId="0" fontId="1" fillId="8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center" vertical="center"/>
    </xf>
    <xf numFmtId="15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/>
    </xf>
    <xf numFmtId="165" fontId="12" fillId="0" borderId="0" xfId="0" applyNumberFormat="1" applyFont="1"/>
    <xf numFmtId="0" fontId="12" fillId="0" borderId="0" xfId="0" applyFont="1"/>
    <xf numFmtId="166" fontId="11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left"/>
    </xf>
    <xf numFmtId="0" fontId="1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left" vertical="center" wrapText="1"/>
    </xf>
    <xf numFmtId="0" fontId="15" fillId="9" borderId="17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15" fillId="9" borderId="21" xfId="0" applyFont="1" applyFill="1" applyBorder="1" applyAlignment="1">
      <alignment horizontal="center" vertical="center"/>
    </xf>
    <xf numFmtId="0" fontId="16" fillId="0" borderId="0" xfId="0" applyFont="1"/>
    <xf numFmtId="0" fontId="11" fillId="0" borderId="22" xfId="0" applyFont="1" applyBorder="1" applyAlignment="1">
      <alignment horizontal="center" vertical="center"/>
    </xf>
    <xf numFmtId="49" fontId="16" fillId="0" borderId="23" xfId="0" applyNumberFormat="1" applyFont="1" applyBorder="1" applyAlignment="1">
      <alignment vertical="center"/>
    </xf>
    <xf numFmtId="0" fontId="2" fillId="0" borderId="24" xfId="0" applyFont="1" applyBorder="1"/>
    <xf numFmtId="0" fontId="2" fillId="0" borderId="25" xfId="0" applyFont="1" applyBorder="1"/>
    <xf numFmtId="49" fontId="16" fillId="0" borderId="26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7" xfId="0" applyFont="1" applyBorder="1" applyAlignment="1">
      <alignment horizontal="center" vertical="center"/>
    </xf>
    <xf numFmtId="49" fontId="16" fillId="0" borderId="28" xfId="0" applyNumberFormat="1" applyFont="1" applyBorder="1" applyAlignment="1">
      <alignment vertical="center"/>
    </xf>
    <xf numFmtId="0" fontId="2" fillId="0" borderId="29" xfId="0" applyFont="1" applyBorder="1"/>
    <xf numFmtId="49" fontId="16" fillId="0" borderId="30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70" fontId="11" fillId="0" borderId="28" xfId="0" applyNumberFormat="1" applyFont="1" applyBorder="1" applyAlignment="1">
      <alignment horizontal="right" vertical="center"/>
    </xf>
    <xf numFmtId="171" fontId="11" fillId="0" borderId="30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right" vertical="center"/>
    </xf>
    <xf numFmtId="49" fontId="17" fillId="0" borderId="0" xfId="0" applyNumberFormat="1" applyFont="1" applyAlignment="1">
      <alignment vertical="center"/>
    </xf>
    <xf numFmtId="0" fontId="11" fillId="0" borderId="28" xfId="0" applyFont="1" applyBorder="1" applyAlignment="1">
      <alignment horizontal="right" vertical="center"/>
    </xf>
    <xf numFmtId="171" fontId="11" fillId="0" borderId="30" xfId="0" applyNumberFormat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29" xfId="0" applyFont="1" applyBorder="1" applyAlignment="1">
      <alignment horizontal="right" vertical="center"/>
    </xf>
    <xf numFmtId="0" fontId="11" fillId="0" borderId="31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11" fillId="0" borderId="14" xfId="0" applyFont="1" applyBorder="1" applyAlignment="1">
      <alignment horizontal="right" vertical="center"/>
    </xf>
    <xf numFmtId="0" fontId="11" fillId="0" borderId="32" xfId="0" applyFont="1" applyBorder="1" applyAlignment="1">
      <alignment horizontal="right" vertical="center"/>
    </xf>
    <xf numFmtId="0" fontId="11" fillId="0" borderId="33" xfId="0" applyFont="1" applyBorder="1" applyAlignment="1">
      <alignment vertical="center"/>
    </xf>
    <xf numFmtId="0" fontId="11" fillId="0" borderId="34" xfId="0" applyFont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19" fillId="0" borderId="0" xfId="0" applyFont="1" applyAlignment="1">
      <alignment vertical="center"/>
    </xf>
    <xf numFmtId="0" fontId="11" fillId="0" borderId="28" xfId="0" applyFont="1" applyBorder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49" fontId="11" fillId="0" borderId="37" xfId="0" applyNumberFormat="1" applyFont="1" applyBorder="1" applyAlignment="1">
      <alignment vertical="center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172" fontId="16" fillId="0" borderId="42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/>
    <xf numFmtId="49" fontId="1" fillId="0" borderId="0" xfId="0" applyNumberFormat="1" applyFont="1"/>
    <xf numFmtId="0" fontId="11" fillId="0" borderId="0" xfId="0" applyFont="1"/>
    <xf numFmtId="173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74" fontId="11" fillId="0" borderId="0" xfId="0" applyNumberFormat="1" applyFont="1"/>
    <xf numFmtId="175" fontId="12" fillId="0" borderId="0" xfId="0" applyNumberFormat="1" applyFont="1" applyAlignment="1">
      <alignment horizontal="left" vertical="center" wrapText="1"/>
    </xf>
    <xf numFmtId="0" fontId="15" fillId="9" borderId="43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49" fontId="11" fillId="0" borderId="28" xfId="0" applyNumberFormat="1" applyFont="1" applyBorder="1" applyAlignment="1">
      <alignment horizontal="center" vertical="center"/>
    </xf>
    <xf numFmtId="171" fontId="11" fillId="0" borderId="2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1" fontId="11" fillId="0" borderId="28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1" fillId="0" borderId="29" xfId="0" applyFont="1" applyBorder="1" applyAlignment="1">
      <alignment horizontal="center" vertical="center"/>
    </xf>
    <xf numFmtId="171" fontId="11" fillId="0" borderId="28" xfId="0" applyNumberFormat="1" applyFont="1" applyBorder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28" xfId="0" applyFont="1" applyBorder="1" applyAlignment="1">
      <alignment horizontal="left" vertical="top" wrapText="1"/>
    </xf>
    <xf numFmtId="0" fontId="16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1" fontId="11" fillId="0" borderId="14" xfId="0" applyNumberFormat="1" applyFont="1" applyBorder="1" applyAlignment="1">
      <alignment horizontal="right" vertical="center"/>
    </xf>
    <xf numFmtId="171" fontId="11" fillId="0" borderId="45" xfId="0" applyNumberFormat="1" applyFont="1" applyBorder="1" applyAlignment="1">
      <alignment vertical="center"/>
    </xf>
    <xf numFmtId="171" fontId="22" fillId="0" borderId="28" xfId="0" applyNumberFormat="1" applyFont="1" applyBorder="1" applyAlignment="1">
      <alignment horizontal="right" vertical="center"/>
    </xf>
    <xf numFmtId="171" fontId="22" fillId="0" borderId="30" xfId="0" applyNumberFormat="1" applyFont="1" applyBorder="1" applyAlignment="1">
      <alignment vertical="center"/>
    </xf>
    <xf numFmtId="9" fontId="22" fillId="0" borderId="28" xfId="0" applyNumberFormat="1" applyFont="1" applyBorder="1" applyAlignment="1">
      <alignment horizontal="right" vertical="center"/>
    </xf>
    <xf numFmtId="171" fontId="11" fillId="0" borderId="44" xfId="0" applyNumberFormat="1" applyFont="1" applyBorder="1" applyAlignment="1">
      <alignment horizontal="right" vertical="center"/>
    </xf>
    <xf numFmtId="0" fontId="23" fillId="0" borderId="0" xfId="0" applyFont="1"/>
    <xf numFmtId="0" fontId="11" fillId="0" borderId="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171" fontId="22" fillId="0" borderId="47" xfId="0" applyNumberFormat="1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48" xfId="0" applyFont="1" applyBorder="1" applyAlignment="1">
      <alignment horizontal="center" vertical="center"/>
    </xf>
    <xf numFmtId="0" fontId="2" fillId="0" borderId="49" xfId="0" applyFont="1" applyBorder="1"/>
    <xf numFmtId="0" fontId="2" fillId="0" borderId="50" xfId="0" applyFont="1" applyBorder="1"/>
    <xf numFmtId="172" fontId="16" fillId="0" borderId="13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25" fillId="0" borderId="51" xfId="0" applyFont="1" applyBorder="1" applyAlignment="1">
      <alignment horizontal="left"/>
    </xf>
    <xf numFmtId="0" fontId="2" fillId="0" borderId="51" xfId="0" applyFont="1" applyBorder="1"/>
    <xf numFmtId="0" fontId="25" fillId="0" borderId="0" xfId="0" applyFont="1" applyAlignment="1">
      <alignment horizontal="left"/>
    </xf>
    <xf numFmtId="0" fontId="16" fillId="0" borderId="25" xfId="0" applyFont="1" applyBorder="1" applyAlignment="1">
      <alignment vertical="center"/>
    </xf>
    <xf numFmtId="49" fontId="16" fillId="0" borderId="52" xfId="0" applyNumberFormat="1" applyFont="1" applyBorder="1" applyAlignment="1">
      <alignment vertical="center"/>
    </xf>
    <xf numFmtId="49" fontId="16" fillId="0" borderId="24" xfId="0" applyNumberFormat="1" applyFont="1" applyBorder="1" applyAlignment="1">
      <alignment vertical="center"/>
    </xf>
    <xf numFmtId="49" fontId="16" fillId="0" borderId="28" xfId="0" applyNumberFormat="1" applyFont="1" applyBorder="1" applyAlignment="1">
      <alignment horizontal="left" vertical="center"/>
    </xf>
    <xf numFmtId="49" fontId="16" fillId="0" borderId="37" xfId="0" applyNumberFormat="1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171" fontId="11" fillId="0" borderId="0" xfId="0" applyNumberFormat="1" applyFont="1" applyAlignment="1">
      <alignment horizontal="center" vertical="center"/>
    </xf>
    <xf numFmtId="0" fontId="24" fillId="10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0" fontId="23" fillId="10" borderId="0" xfId="0" applyFont="1" applyFill="1" applyAlignment="1">
      <alignment vertical="center"/>
    </xf>
    <xf numFmtId="0" fontId="21" fillId="11" borderId="0" xfId="0" applyFont="1" applyFill="1" applyAlignment="1">
      <alignment horizontal="center" vertical="center"/>
    </xf>
    <xf numFmtId="0" fontId="2" fillId="0" borderId="0" xfId="0" applyFont="1"/>
    <xf numFmtId="171" fontId="11" fillId="0" borderId="30" xfId="0" applyNumberFormat="1" applyFont="1" applyBorder="1" applyAlignment="1">
      <alignment horizontal="right" vertical="center"/>
    </xf>
    <xf numFmtId="0" fontId="23" fillId="10" borderId="0" xfId="0" applyFont="1" applyFill="1"/>
    <xf numFmtId="0" fontId="11" fillId="10" borderId="0" xfId="0" applyFont="1" applyFill="1" applyAlignment="1">
      <alignment vertical="center"/>
    </xf>
    <xf numFmtId="0" fontId="24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133350</xdr:colOff>
      <xdr:row>5</xdr:row>
      <xdr:rowOff>9525</xdr:rowOff>
    </xdr:from>
    <xdr:ext cx="2066925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28575</xdr:colOff>
      <xdr:row>5</xdr:row>
      <xdr:rowOff>219075</xdr:rowOff>
    </xdr:from>
    <xdr:ext cx="2600325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228600</xdr:colOff>
      <xdr:row>54</xdr:row>
      <xdr:rowOff>85725</xdr:rowOff>
    </xdr:from>
    <xdr:ext cx="2181225" cy="1000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66675</xdr:colOff>
      <xdr:row>5</xdr:row>
      <xdr:rowOff>266700</xdr:rowOff>
    </xdr:from>
    <xdr:ext cx="224790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295275</xdr:colOff>
      <xdr:row>52</xdr:row>
      <xdr:rowOff>161925</xdr:rowOff>
    </xdr:from>
    <xdr:ext cx="2190750" cy="1019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 zoomScale="100" zoomScaleNormal="100">
      <selection activeCell="K24" sqref="K24"/>
    </sheetView>
  </sheetViews>
  <sheetFormatPr defaultRowHeight="15" outlineLevelRow="0" outlineLevelCol="0" x14ac:dyDescent="0" defaultColWidth="14.44140625"/>
  <cols>
    <col min="1" max="1" width="8.44140625" customWidth="1"/>
    <col min="2" max="2" width="16.6640625" customWidth="1"/>
    <col min="3" max="3" width="22.44140625" customWidth="1"/>
    <col min="4" max="4" width="51.88671875" customWidth="1"/>
    <col min="5" max="6" width="9.33203125" customWidth="1"/>
    <col min="7" max="7" width="20.109375" customWidth="1"/>
    <col min="8" max="8" width="10.88671875" customWidth="1"/>
    <col min="9" max="9" width="9.33203125" customWidth="1"/>
    <col min="10" max="10" width="13.33203125" customWidth="1"/>
    <col min="11" max="12" width="45" customWidth="1"/>
    <col min="13" max="25" width="9.33203125" customWidth="1"/>
  </cols>
  <sheetData>
    <row r="1" ht="17.25" customHeight="1" spans="1:25" x14ac:dyDescent="0.25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7.25" customHeight="1" spans="1:25" x14ac:dyDescent="0.25">
      <c r="A2" s="5"/>
      <c r="B2" s="6" t="s">
        <v>1</v>
      </c>
      <c r="C2" s="5" t="s">
        <v>2</v>
      </c>
      <c r="D2" s="6" t="s">
        <v>3</v>
      </c>
      <c r="E2" s="4"/>
      <c r="F2" s="4"/>
      <c r="G2" s="4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7.25" customHeight="1" spans="1:25" x14ac:dyDescent="0.25">
      <c r="A3" s="7">
        <v>1</v>
      </c>
      <c r="B3" s="8" t="s">
        <v>5</v>
      </c>
      <c r="C3" s="9">
        <v>45793</v>
      </c>
      <c r="D3" s="10"/>
      <c r="E3" s="4"/>
      <c r="F3" s="4"/>
      <c r="G3" s="6"/>
      <c r="H3" s="5" t="s">
        <v>6</v>
      </c>
      <c r="I3" s="5" t="s">
        <v>7</v>
      </c>
      <c r="J3" s="5" t="s">
        <v>8</v>
      </c>
      <c r="K3" s="6" t="s">
        <v>6</v>
      </c>
      <c r="L3" s="6" t="s">
        <v>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7.25" customHeight="1" spans="1:25" x14ac:dyDescent="0.25">
      <c r="A4" s="7">
        <v>2</v>
      </c>
      <c r="B4" s="8" t="s">
        <v>9</v>
      </c>
      <c r="C4" s="11" t="s">
        <v>10</v>
      </c>
      <c r="D4" s="10"/>
      <c r="E4" s="4"/>
      <c r="F4" s="4"/>
      <c r="G4" s="12" t="s">
        <v>11</v>
      </c>
      <c r="H4" s="13">
        <v>0.6</v>
      </c>
      <c r="I4" s="13">
        <v>0.5</v>
      </c>
      <c r="J4" s="13">
        <v>0.65</v>
      </c>
      <c r="K4" s="10" t="s">
        <v>12</v>
      </c>
      <c r="L4" s="10" t="s">
        <v>12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7.25" customHeight="1" spans="1:25" x14ac:dyDescent="0.25">
      <c r="A5" s="7">
        <v>3</v>
      </c>
      <c r="B5" s="8" t="s">
        <v>13</v>
      </c>
      <c r="C5" s="11" t="s">
        <v>14</v>
      </c>
      <c r="D5" s="10"/>
      <c r="E5" s="4"/>
      <c r="F5" s="4"/>
      <c r="G5" s="12" t="s">
        <v>15</v>
      </c>
      <c r="H5" s="13">
        <v>0.65</v>
      </c>
      <c r="I5" s="13">
        <v>0.8</v>
      </c>
      <c r="J5" s="13">
        <v>0.75</v>
      </c>
      <c r="K5" s="10" t="s">
        <v>12</v>
      </c>
      <c r="L5" s="10" t="s">
        <v>12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5.25" customHeight="1" spans="1:25" x14ac:dyDescent="0.25">
      <c r="A6" s="7">
        <v>4</v>
      </c>
      <c r="B6" s="10" t="s">
        <v>16</v>
      </c>
      <c r="C6" s="10" t="s">
        <v>17</v>
      </c>
      <c r="D6" s="14" t="s">
        <v>18</v>
      </c>
      <c r="E6" s="4"/>
      <c r="F6" s="4"/>
      <c r="G6" s="12" t="s">
        <v>19</v>
      </c>
      <c r="H6" s="13">
        <v>0.6</v>
      </c>
      <c r="I6" s="13">
        <v>0.7</v>
      </c>
      <c r="J6" s="13">
        <v>0.75</v>
      </c>
      <c r="K6" s="10" t="s">
        <v>12</v>
      </c>
      <c r="L6" s="10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7.25" customHeight="1" spans="1:25" x14ac:dyDescent="0.25">
      <c r="A7" s="7">
        <v>5</v>
      </c>
      <c r="B7" s="10" t="s">
        <v>20</v>
      </c>
      <c r="C7" s="15" t="s">
        <v>15</v>
      </c>
      <c r="D7" s="14"/>
      <c r="E7" s="4"/>
      <c r="F7" s="4"/>
      <c r="G7" s="12" t="s">
        <v>21</v>
      </c>
      <c r="H7" s="13">
        <v>0.65</v>
      </c>
      <c r="I7" s="13">
        <v>0.8</v>
      </c>
      <c r="J7" s="13">
        <v>0.75</v>
      </c>
      <c r="K7" s="10" t="s">
        <v>12</v>
      </c>
      <c r="L7" s="10" t="s">
        <v>12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7.25" customHeight="1" spans="1:25" x14ac:dyDescent="0.25">
      <c r="A8" s="7">
        <v>6</v>
      </c>
      <c r="B8" s="10" t="s">
        <v>22</v>
      </c>
      <c r="C8" s="16">
        <f>VLOOKUP($C$7,$G$4:$J$18,2,FALSE)</f>
        <v>0.65</v>
      </c>
      <c r="D8" s="10" t="s">
        <v>15</v>
      </c>
      <c r="E8" s="4"/>
      <c r="F8" s="4"/>
      <c r="G8" s="12" t="s">
        <v>23</v>
      </c>
      <c r="H8" s="13">
        <v>0.6</v>
      </c>
      <c r="I8" s="13">
        <v>0.85</v>
      </c>
      <c r="J8" s="13">
        <v>0.75</v>
      </c>
      <c r="K8" s="10" t="s">
        <v>12</v>
      </c>
      <c r="L8" s="10" t="s">
        <v>12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7.25" customHeight="1" spans="1:25" x14ac:dyDescent="0.25">
      <c r="A9" s="7">
        <v>7</v>
      </c>
      <c r="B9" s="10" t="s">
        <v>24</v>
      </c>
      <c r="C9" s="16">
        <f>VLOOKUP($C$7,$G$4:$J$18,3,FALSE)</f>
        <v>0.8</v>
      </c>
      <c r="D9" s="10"/>
      <c r="E9" s="4"/>
      <c r="F9" s="4"/>
      <c r="G9" s="12" t="s">
        <v>25</v>
      </c>
      <c r="H9" s="13">
        <v>0.7</v>
      </c>
      <c r="I9" s="13">
        <v>0.8</v>
      </c>
      <c r="J9" s="13">
        <v>0.8</v>
      </c>
      <c r="K9" s="10" t="s">
        <v>12</v>
      </c>
      <c r="L9" s="10" t="s">
        <v>12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7.25" customHeight="1" spans="1:25" x14ac:dyDescent="0.25">
      <c r="A10" s="7">
        <v>8</v>
      </c>
      <c r="B10" s="10" t="s">
        <v>26</v>
      </c>
      <c r="C10" s="16"/>
      <c r="D10" s="10"/>
      <c r="E10" s="4"/>
      <c r="F10" s="4"/>
      <c r="G10" s="12" t="s">
        <v>27</v>
      </c>
      <c r="H10" s="13">
        <v>0.7</v>
      </c>
      <c r="I10" s="13">
        <v>0.8</v>
      </c>
      <c r="J10" s="13">
        <v>0.8</v>
      </c>
      <c r="K10" s="10" t="s">
        <v>12</v>
      </c>
      <c r="L10" s="10" t="s">
        <v>12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7.25" customHeight="1" spans="1:25" x14ac:dyDescent="0.25">
      <c r="A11" s="7">
        <v>9</v>
      </c>
      <c r="B11" s="10" t="s">
        <v>28</v>
      </c>
      <c r="C11" s="16" t="str">
        <f>VLOOKUP($C$7,$G$4:$L$18,5,FALSE)</f>
        <v>At the end of next month of delivery date</v>
      </c>
      <c r="D11" s="10"/>
      <c r="E11" s="4"/>
      <c r="F11" s="4"/>
      <c r="G11" s="10" t="s">
        <v>29</v>
      </c>
      <c r="H11" s="10">
        <v>0.7</v>
      </c>
      <c r="I11" s="10">
        <v>0.9</v>
      </c>
      <c r="J11" s="10">
        <v>0.8</v>
      </c>
      <c r="K11" s="10" t="s">
        <v>30</v>
      </c>
      <c r="L11" s="10" t="s">
        <v>30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7.25" customHeight="1" spans="1:25" x14ac:dyDescent="0.25">
      <c r="A12" s="7">
        <v>10</v>
      </c>
      <c r="B12" s="10" t="s">
        <v>31</v>
      </c>
      <c r="C12" s="16" t="str">
        <f>VLOOKUP($C$7,$G$4:$L$18,6,FALSE)</f>
        <v>At the end of next month of delivery date</v>
      </c>
      <c r="D12" s="10"/>
      <c r="E12" s="4"/>
      <c r="F12" s="4"/>
      <c r="G12" s="10" t="s">
        <v>32</v>
      </c>
      <c r="H12" s="13">
        <v>0.7</v>
      </c>
      <c r="I12" s="13">
        <v>0.8</v>
      </c>
      <c r="J12" s="10">
        <v>0.8</v>
      </c>
      <c r="K12" s="10" t="s">
        <v>30</v>
      </c>
      <c r="L12" s="10" t="s">
        <v>30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7.25" customHeight="1" spans="1:25" x14ac:dyDescent="0.25">
      <c r="A13" s="7">
        <v>11</v>
      </c>
      <c r="B13" s="8" t="s">
        <v>33</v>
      </c>
      <c r="C13" s="17" t="s">
        <v>34</v>
      </c>
      <c r="D13" s="18" t="s">
        <v>35</v>
      </c>
      <c r="E13" s="4"/>
      <c r="F13" s="4"/>
      <c r="G13" s="10" t="s">
        <v>36</v>
      </c>
      <c r="H13" s="10">
        <v>0.7</v>
      </c>
      <c r="I13" s="10">
        <v>0.9</v>
      </c>
      <c r="J13" s="10">
        <v>0.8</v>
      </c>
      <c r="K13" s="10" t="s">
        <v>30</v>
      </c>
      <c r="L13" s="10" t="s">
        <v>30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7.25" customHeight="1" spans="1:25" x14ac:dyDescent="0.25">
      <c r="A14" s="7">
        <v>12</v>
      </c>
      <c r="B14" s="10" t="s">
        <v>37</v>
      </c>
      <c r="C14" s="19" t="s">
        <v>38</v>
      </c>
      <c r="D14" s="10"/>
      <c r="E14" s="4"/>
      <c r="F14" s="4"/>
      <c r="G14" s="10" t="s">
        <v>39</v>
      </c>
      <c r="H14" s="10">
        <v>0.7</v>
      </c>
      <c r="I14" s="10">
        <v>0.9</v>
      </c>
      <c r="J14" s="10">
        <v>0.8</v>
      </c>
      <c r="K14" s="10" t="s">
        <v>30</v>
      </c>
      <c r="L14" s="10" t="s">
        <v>30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7.25" customHeight="1" spans="1:25" x14ac:dyDescent="0.25">
      <c r="A15" s="7">
        <v>13</v>
      </c>
      <c r="B15" s="10" t="s">
        <v>40</v>
      </c>
      <c r="C15" s="10" t="str">
        <f>"End of "&amp;YEAR(EDATE(C3,3))&amp;"/"&amp;MONTH(EDATE(C3,3))&amp;" "</f>
        <v>End of 2025/8 </v>
      </c>
      <c r="D15" s="10"/>
      <c r="E15" s="4"/>
      <c r="F15" s="4"/>
      <c r="G15" s="10" t="s">
        <v>41</v>
      </c>
      <c r="H15" s="10">
        <v>0.7</v>
      </c>
      <c r="I15" s="10">
        <v>0.9</v>
      </c>
      <c r="J15" s="10">
        <v>0.8</v>
      </c>
      <c r="K15" s="10" t="s">
        <v>30</v>
      </c>
      <c r="L15" s="10" t="s">
        <v>30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7.25" customHeight="1" spans="1:25" x14ac:dyDescent="0.25">
      <c r="A16" s="1" t="s">
        <v>42</v>
      </c>
      <c r="B16" s="2"/>
      <c r="C16" s="2"/>
      <c r="D16" s="3"/>
      <c r="E16" s="4"/>
      <c r="F16" s="4"/>
      <c r="G16" s="10" t="s">
        <v>43</v>
      </c>
      <c r="H16" s="10">
        <v>0.7</v>
      </c>
      <c r="I16" s="10">
        <v>0.9</v>
      </c>
      <c r="J16" s="10">
        <v>0.8</v>
      </c>
      <c r="K16" s="10" t="s">
        <v>30</v>
      </c>
      <c r="L16" s="10" t="s">
        <v>30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7.25" customHeight="1" spans="1:25" x14ac:dyDescent="0.25">
      <c r="A17" s="20"/>
      <c r="B17" s="21" t="s">
        <v>1</v>
      </c>
      <c r="C17" s="20" t="s">
        <v>2</v>
      </c>
      <c r="D17" s="21" t="s">
        <v>3</v>
      </c>
      <c r="E17" s="4"/>
      <c r="F17" s="4"/>
      <c r="G17" s="10" t="s">
        <v>44</v>
      </c>
      <c r="H17" s="10">
        <v>0.7</v>
      </c>
      <c r="I17" s="10">
        <v>0.9</v>
      </c>
      <c r="J17" s="10">
        <v>0.8</v>
      </c>
      <c r="K17" s="10" t="s">
        <v>30</v>
      </c>
      <c r="L17" s="10" t="s">
        <v>30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7.25" customHeight="1" spans="1:25" x14ac:dyDescent="0.25">
      <c r="A18" s="22">
        <v>1</v>
      </c>
      <c r="B18" s="23" t="s">
        <v>45</v>
      </c>
      <c r="C18" s="23">
        <v>100</v>
      </c>
      <c r="D18" s="24"/>
      <c r="E18" s="4"/>
      <c r="F18" s="4"/>
      <c r="G18" s="10" t="s">
        <v>46</v>
      </c>
      <c r="H18" s="10">
        <v>0.7</v>
      </c>
      <c r="I18" s="10">
        <v>0.9</v>
      </c>
      <c r="J18" s="10">
        <v>0.8</v>
      </c>
      <c r="K18" s="10" t="s">
        <v>30</v>
      </c>
      <c r="L18" s="10" t="s">
        <v>30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7.25" customHeight="1" spans="1:25" x14ac:dyDescent="0.25">
      <c r="A19" s="25">
        <v>2</v>
      </c>
      <c r="B19" s="26" t="s">
        <v>47</v>
      </c>
      <c r="C19" s="27">
        <f>VLOOKUP($C$18,$G$21:$K$42,2,FALSE)</f>
        <v>3000000</v>
      </c>
      <c r="D19" s="2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7.25" customHeight="1" spans="1:25" x14ac:dyDescent="0.25">
      <c r="A20" s="29">
        <v>3</v>
      </c>
      <c r="B20" s="30" t="s">
        <v>48</v>
      </c>
      <c r="C20" s="31">
        <f>VLOOKUP($C$18,$G$21:$K$42,3,FALSE)</f>
        <v>450000</v>
      </c>
      <c r="D20" s="32"/>
      <c r="E20" s="4"/>
      <c r="F20" s="4"/>
      <c r="G20" s="4"/>
      <c r="H20" s="4" t="s">
        <v>49</v>
      </c>
      <c r="I20" s="4" t="s">
        <v>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7.25" customHeight="1" spans="1:25" x14ac:dyDescent="0.25">
      <c r="A21" s="33">
        <v>4</v>
      </c>
      <c r="B21" s="34" t="s">
        <v>50</v>
      </c>
      <c r="C21" s="34" t="s">
        <v>51</v>
      </c>
      <c r="D21" s="35"/>
      <c r="E21" s="4"/>
      <c r="F21" s="4"/>
      <c r="G21" s="36">
        <v>5</v>
      </c>
      <c r="H21" s="36">
        <v>1066000</v>
      </c>
      <c r="I21" s="36">
        <f t="shared" ref="I21:I39" si="0">H21*15%</f>
        <v>159900</v>
      </c>
      <c r="J21" s="36"/>
      <c r="K21" s="3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7.25" customHeight="1" spans="1:25" x14ac:dyDescent="0.25">
      <c r="A22" s="37">
        <v>5</v>
      </c>
      <c r="B22" s="38" t="s">
        <v>52</v>
      </c>
      <c r="C22" s="38" t="e">
        <f>VLOOKUP($C$21,$G$44:$K$45,2,FALSE)</f>
        <v>#N/A</v>
      </c>
      <c r="D22" s="39"/>
      <c r="E22" s="4"/>
      <c r="F22" s="4"/>
      <c r="G22" s="36">
        <v>10</v>
      </c>
      <c r="H22" s="36">
        <v>1410000</v>
      </c>
      <c r="I22" s="36">
        <f t="shared" si="0"/>
        <v>211500</v>
      </c>
      <c r="J22" s="36"/>
      <c r="K22" s="3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7.25" customHeight="1" spans="1:25" x14ac:dyDescent="0.25">
      <c r="A23" s="40">
        <v>6</v>
      </c>
      <c r="B23" s="41" t="s">
        <v>53</v>
      </c>
      <c r="C23" s="41" t="e">
        <f>VLOOKUP($C$21,$G$44:$K$45,3,FALSE)</f>
        <v>#N/A</v>
      </c>
      <c r="D23" s="42"/>
      <c r="E23" s="4"/>
      <c r="F23" s="4"/>
      <c r="G23" s="36">
        <v>20</v>
      </c>
      <c r="H23" s="36">
        <v>1800000</v>
      </c>
      <c r="I23" s="36">
        <f t="shared" si="0"/>
        <v>270000</v>
      </c>
      <c r="J23" s="36"/>
      <c r="K23" s="36">
        <f>(H22+H44)*0.4+(I22+I44)*0.5</f>
        <v>1068750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7.25" customHeight="1" spans="1:25" x14ac:dyDescent="0.25">
      <c r="A24" s="43"/>
      <c r="B24" s="44" t="s">
        <v>54</v>
      </c>
      <c r="C24" s="44" t="s">
        <v>51</v>
      </c>
      <c r="D24" s="45"/>
      <c r="E24" s="4"/>
      <c r="F24" s="4"/>
      <c r="G24" s="36">
        <v>30</v>
      </c>
      <c r="H24" s="36">
        <v>2040000</v>
      </c>
      <c r="I24" s="36">
        <f t="shared" si="0"/>
        <v>306000</v>
      </c>
      <c r="J24" s="36"/>
      <c r="K24" s="3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7.25" customHeight="1" spans="1:25" x14ac:dyDescent="0.25">
      <c r="A25" s="46"/>
      <c r="B25" s="47" t="s">
        <v>55</v>
      </c>
      <c r="C25" s="47" t="e">
        <f>VLOOKUP($C$24,$G$44:$K$46,2,FALSE)</f>
        <v>#N/A</v>
      </c>
      <c r="D25" s="48"/>
      <c r="E25" s="4"/>
      <c r="F25" s="4" t="s">
        <v>56</v>
      </c>
      <c r="G25" s="36">
        <v>40</v>
      </c>
      <c r="H25" s="36">
        <v>2280000</v>
      </c>
      <c r="I25" s="36">
        <f t="shared" si="0"/>
        <v>342000</v>
      </c>
      <c r="J25" s="36"/>
      <c r="K25" s="3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7.25" customHeight="1" spans="1:25" x14ac:dyDescent="0.25">
      <c r="A26" s="49">
        <v>7</v>
      </c>
      <c r="B26" s="50" t="s">
        <v>57</v>
      </c>
      <c r="C26" s="50" t="s">
        <v>58</v>
      </c>
      <c r="D26" s="51"/>
      <c r="E26" s="4"/>
      <c r="F26" s="4" t="s">
        <v>59</v>
      </c>
      <c r="G26" s="36">
        <v>50</v>
      </c>
      <c r="H26" s="36">
        <v>2400000</v>
      </c>
      <c r="I26" s="36">
        <f t="shared" si="0"/>
        <v>360000</v>
      </c>
      <c r="J26" s="36"/>
      <c r="K26" s="3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7.25" customHeight="1" spans="1:25" x14ac:dyDescent="0.25">
      <c r="A27" s="52">
        <v>8</v>
      </c>
      <c r="B27" s="53" t="s">
        <v>60</v>
      </c>
      <c r="C27" s="53">
        <v>5</v>
      </c>
      <c r="D27" s="54"/>
      <c r="E27" s="4"/>
      <c r="F27" s="4"/>
      <c r="G27" s="36">
        <v>60</v>
      </c>
      <c r="H27" s="36">
        <v>2520000</v>
      </c>
      <c r="I27" s="36">
        <f t="shared" si="0"/>
        <v>378000</v>
      </c>
      <c r="J27" s="36"/>
      <c r="K27" s="3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7.25" customHeight="1" spans="1:25" x14ac:dyDescent="0.25">
      <c r="A28" s="52">
        <v>9</v>
      </c>
      <c r="B28" s="53" t="s">
        <v>61</v>
      </c>
      <c r="C28" s="53">
        <f>IF(OR(C26="音声なし",C26="音声あり"),IF(C27="","",(VLOOKUP($C$27,$G$21:$K$42,2,FALSE)-600000))*0.4,VLOOKUP($C$26,$G$50:$H$53,2,FALSE))</f>
        <v>186400</v>
      </c>
      <c r="D28" s="54"/>
      <c r="E28" s="4"/>
      <c r="F28" s="4"/>
      <c r="G28" s="36">
        <v>70</v>
      </c>
      <c r="H28" s="36">
        <v>2640000</v>
      </c>
      <c r="I28" s="36">
        <f t="shared" si="0"/>
        <v>396000</v>
      </c>
      <c r="J28" s="36"/>
      <c r="K28" s="3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7.25" customHeight="1" spans="1:25" x14ac:dyDescent="0.25">
      <c r="A29" s="55">
        <v>10</v>
      </c>
      <c r="B29" s="56" t="s">
        <v>62</v>
      </c>
      <c r="C29" s="56">
        <f>IF(C28="","",C28*0.15)</f>
        <v>27960</v>
      </c>
      <c r="D29" s="57"/>
      <c r="E29" s="4"/>
      <c r="F29" s="4"/>
      <c r="G29" s="36">
        <v>80</v>
      </c>
      <c r="H29" s="36">
        <v>2760000</v>
      </c>
      <c r="I29" s="36">
        <f t="shared" si="0"/>
        <v>414000</v>
      </c>
      <c r="J29" s="36"/>
      <c r="K29" s="3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7.25" customHeight="1" spans="1:25" x14ac:dyDescent="0.25">
      <c r="A30" s="58">
        <v>11</v>
      </c>
      <c r="B30" s="59" t="s">
        <v>63</v>
      </c>
      <c r="C30" s="59" t="s">
        <v>64</v>
      </c>
      <c r="D30" s="60"/>
      <c r="E30" s="4"/>
      <c r="F30" s="4"/>
      <c r="G30" s="36">
        <v>90</v>
      </c>
      <c r="H30" s="36">
        <v>2880000</v>
      </c>
      <c r="I30" s="36">
        <f t="shared" si="0"/>
        <v>432000</v>
      </c>
      <c r="J30" s="36"/>
      <c r="K30" s="3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7.25" customHeight="1" spans="1:25" x14ac:dyDescent="0.25">
      <c r="A31" s="61">
        <v>12</v>
      </c>
      <c r="B31" s="62" t="s">
        <v>65</v>
      </c>
      <c r="C31" s="62">
        <v>5</v>
      </c>
      <c r="D31" s="63"/>
      <c r="E31" s="4"/>
      <c r="F31" s="4"/>
      <c r="G31" s="36">
        <v>100</v>
      </c>
      <c r="H31" s="36">
        <v>3000000</v>
      </c>
      <c r="I31" s="36">
        <f t="shared" si="0"/>
        <v>450000</v>
      </c>
      <c r="J31" s="36"/>
      <c r="K31" s="3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7.25" customHeight="1" spans="1:25" x14ac:dyDescent="0.25">
      <c r="A32" s="61">
        <v>13</v>
      </c>
      <c r="B32" s="62" t="s">
        <v>66</v>
      </c>
      <c r="C32" s="62" t="e">
        <f>IF(OR(C30="音声なし",C30="音声あり"),IF(C31="","",(VLOOKUP($C$31,$G$21:$K$42,2,FALSE)-600000))*0.4,VLOOKUP($C$30,$G$50:$H$53,2,FALSE))</f>
        <v>#N/A</v>
      </c>
      <c r="D32" s="63"/>
      <c r="E32" s="4"/>
      <c r="F32" s="4"/>
      <c r="G32" s="36">
        <v>150</v>
      </c>
      <c r="H32" s="36">
        <v>3540000</v>
      </c>
      <c r="I32" s="36">
        <f t="shared" si="0"/>
        <v>531000</v>
      </c>
      <c r="J32" s="36"/>
      <c r="K32" s="3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7.25" customHeight="1" spans="1:25" x14ac:dyDescent="0.25">
      <c r="A33" s="64"/>
      <c r="B33" s="65" t="s">
        <v>67</v>
      </c>
      <c r="C33" s="65" t="e">
        <f>IF(C32="","",C32*0.15)</f>
        <v>#N/A</v>
      </c>
      <c r="D33" s="66"/>
      <c r="E33" s="4"/>
      <c r="F33" s="4"/>
      <c r="G33" s="36">
        <v>200</v>
      </c>
      <c r="H33" s="36">
        <v>4080000</v>
      </c>
      <c r="I33" s="36">
        <f t="shared" si="0"/>
        <v>612000</v>
      </c>
      <c r="J33" s="36"/>
      <c r="K33" s="3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7.25" customHeight="1" spans="1:25" x14ac:dyDescent="0.25">
      <c r="A34" s="67" t="s">
        <v>68</v>
      </c>
      <c r="B34" s="68"/>
      <c r="C34" s="68"/>
      <c r="D34" s="69"/>
      <c r="E34" s="4"/>
      <c r="F34" s="4"/>
      <c r="G34" s="36">
        <v>250</v>
      </c>
      <c r="H34" s="36">
        <v>4344000</v>
      </c>
      <c r="I34" s="36">
        <f t="shared" si="0"/>
        <v>651600</v>
      </c>
      <c r="J34" s="36"/>
      <c r="K34" s="3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7.25" customHeight="1" spans="1:25" x14ac:dyDescent="0.25">
      <c r="A35" s="5"/>
      <c r="B35" s="6" t="s">
        <v>1</v>
      </c>
      <c r="C35" s="5" t="s">
        <v>2</v>
      </c>
      <c r="D35" s="6" t="s">
        <v>3</v>
      </c>
      <c r="E35" s="4"/>
      <c r="F35" s="4"/>
      <c r="G35" s="36">
        <v>300</v>
      </c>
      <c r="H35" s="36">
        <v>4608000</v>
      </c>
      <c r="I35" s="36">
        <f t="shared" si="0"/>
        <v>691200</v>
      </c>
      <c r="J35" s="36"/>
      <c r="K35" s="3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7.25" customHeight="1" spans="1:25" x14ac:dyDescent="0.25">
      <c r="A36" s="7">
        <v>1</v>
      </c>
      <c r="B36" s="10" t="s">
        <v>69</v>
      </c>
      <c r="C36" s="10" t="s">
        <v>70</v>
      </c>
      <c r="D36" s="10" t="s">
        <v>71</v>
      </c>
      <c r="E36" s="4"/>
      <c r="F36" s="4"/>
      <c r="G36" s="36">
        <v>350</v>
      </c>
      <c r="H36" s="36">
        <v>4860000</v>
      </c>
      <c r="I36" s="36">
        <f t="shared" si="0"/>
        <v>729000</v>
      </c>
      <c r="J36" s="36"/>
      <c r="K36" s="3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7.25" customHeight="1" spans="1:25" x14ac:dyDescent="0.25">
      <c r="A37" s="7">
        <v>2</v>
      </c>
      <c r="B37" s="10" t="s">
        <v>72</v>
      </c>
      <c r="C37" s="10">
        <v>500</v>
      </c>
      <c r="D37" s="10"/>
      <c r="E37" s="4"/>
      <c r="F37" s="4"/>
      <c r="G37" s="36">
        <v>400</v>
      </c>
      <c r="H37" s="36">
        <v>5112000</v>
      </c>
      <c r="I37" s="36">
        <f t="shared" si="0"/>
        <v>766800</v>
      </c>
      <c r="J37" s="36"/>
      <c r="K37" s="3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7.25" customHeight="1" spans="1:25" x14ac:dyDescent="0.25">
      <c r="A38" s="7">
        <v>3</v>
      </c>
      <c r="B38" s="10" t="s">
        <v>73</v>
      </c>
      <c r="C38" s="10">
        <v>1</v>
      </c>
      <c r="D38" s="10"/>
      <c r="E38" s="4"/>
      <c r="F38" s="4"/>
      <c r="G38" s="36">
        <v>450</v>
      </c>
      <c r="H38" s="36">
        <v>5364000</v>
      </c>
      <c r="I38" s="36">
        <f t="shared" si="0"/>
        <v>804600</v>
      </c>
      <c r="J38" s="36"/>
      <c r="K38" s="3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7.25" customHeight="1" spans="1:25" x14ac:dyDescent="0.25">
      <c r="A39" s="7">
        <v>4</v>
      </c>
      <c r="B39" s="10" t="s">
        <v>74</v>
      </c>
      <c r="C39" s="10" t="s">
        <v>59</v>
      </c>
      <c r="D39" s="10"/>
      <c r="E39" s="4"/>
      <c r="F39" s="4"/>
      <c r="G39" s="36">
        <v>500</v>
      </c>
      <c r="H39" s="36">
        <v>5616000</v>
      </c>
      <c r="I39" s="36">
        <f t="shared" si="0"/>
        <v>842400</v>
      </c>
      <c r="J39" s="36"/>
      <c r="K39" s="3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7.25" customHeight="1" spans="1:25" x14ac:dyDescent="0.25">
      <c r="A40" s="7">
        <v>5</v>
      </c>
      <c r="B40" s="10" t="s">
        <v>75</v>
      </c>
      <c r="C40" s="10">
        <v>1000</v>
      </c>
      <c r="D40" s="10"/>
      <c r="E40" s="4"/>
      <c r="F40" s="4"/>
      <c r="G40" s="70"/>
      <c r="H40" s="71"/>
      <c r="I40" s="72"/>
      <c r="J40" s="36"/>
      <c r="K40" s="3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7.25" customHeight="1" spans="1:25" x14ac:dyDescent="0.25">
      <c r="A41" s="73"/>
      <c r="B41" s="4"/>
      <c r="C41" s="4"/>
      <c r="D41" s="4"/>
      <c r="E41" s="4"/>
      <c r="F41" s="4"/>
      <c r="G41" s="36"/>
      <c r="H41" s="36"/>
      <c r="I41" s="36"/>
      <c r="J41" s="36"/>
      <c r="K41" s="3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7.25" customHeight="1" spans="1:25" x14ac:dyDescent="0.25">
      <c r="A42" s="73"/>
      <c r="B42" s="4"/>
      <c r="C42" s="4"/>
      <c r="D42" s="4"/>
      <c r="E42" s="4"/>
      <c r="F42" s="74" t="s">
        <v>76</v>
      </c>
      <c r="G42" s="70"/>
      <c r="H42" s="71"/>
      <c r="I42" s="7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7.25" customHeight="1" spans="1:25" x14ac:dyDescent="0.25">
      <c r="A43" s="7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7.25" customHeight="1" spans="1:25" x14ac:dyDescent="0.25">
      <c r="A44" s="73"/>
      <c r="B44" s="4"/>
      <c r="C44" s="4"/>
      <c r="D44" s="4"/>
      <c r="E44" s="4"/>
      <c r="F44" s="4"/>
      <c r="G44" s="4" t="s">
        <v>77</v>
      </c>
      <c r="H44" s="36">
        <v>840000</v>
      </c>
      <c r="I44" s="36">
        <f t="shared" ref="I44:I45" si="1">H44*0.15</f>
        <v>126000</v>
      </c>
      <c r="J44" s="36"/>
      <c r="K44" s="3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7.25" customHeight="1" spans="1:25" x14ac:dyDescent="0.25">
      <c r="A45" s="73"/>
      <c r="B45" s="4"/>
      <c r="C45" s="4"/>
      <c r="D45" s="4"/>
      <c r="E45" s="4"/>
      <c r="F45" s="4"/>
      <c r="G45" s="4" t="s">
        <v>78</v>
      </c>
      <c r="H45" s="4">
        <v>180000</v>
      </c>
      <c r="I45" s="36">
        <f t="shared" si="1"/>
        <v>27000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7.25" customHeight="1" spans="1:25" x14ac:dyDescent="0.25">
      <c r="A46" s="7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7.25" customHeight="1" spans="1:25" x14ac:dyDescent="0.25">
      <c r="A47" s="7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7.25" customHeight="1" spans="1:25" x14ac:dyDescent="0.25">
      <c r="A48" s="7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7.25" customHeight="1" spans="1:25" x14ac:dyDescent="0.25">
      <c r="A49" s="7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7.25" customHeight="1" spans="1:25" x14ac:dyDescent="0.25">
      <c r="A50" s="7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7.25" customHeight="1" spans="1:25" x14ac:dyDescent="0.25">
      <c r="A51" s="73"/>
      <c r="B51" s="4"/>
      <c r="C51" s="4"/>
      <c r="D51" s="4"/>
      <c r="E51" s="4"/>
      <c r="F51" s="4"/>
      <c r="G51" s="4" t="s">
        <v>79</v>
      </c>
      <c r="H51" s="4">
        <v>960000</v>
      </c>
      <c r="I51" s="4">
        <f t="shared" ref="I51:I53" si="2">H51*0.15</f>
        <v>144000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7.25" customHeight="1" spans="1:25" x14ac:dyDescent="0.25">
      <c r="A52" s="73"/>
      <c r="B52" s="4"/>
      <c r="C52" s="4"/>
      <c r="D52" s="4"/>
      <c r="E52" s="4"/>
      <c r="F52" s="4"/>
      <c r="G52" s="4" t="s">
        <v>80</v>
      </c>
      <c r="H52" s="4">
        <v>1560000</v>
      </c>
      <c r="I52" s="4">
        <f t="shared" si="2"/>
        <v>234000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7.25" customHeight="1" spans="1:25" x14ac:dyDescent="0.25">
      <c r="A53" s="73"/>
      <c r="B53" s="4"/>
      <c r="C53" s="4"/>
      <c r="D53" s="4"/>
      <c r="E53" s="4"/>
      <c r="F53" s="4"/>
      <c r="G53" s="4" t="s">
        <v>81</v>
      </c>
      <c r="H53" s="4">
        <v>240000</v>
      </c>
      <c r="I53" s="4">
        <f t="shared" si="2"/>
        <v>36000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7.25" customHeight="1" spans="1:25" x14ac:dyDescent="0.25">
      <c r="A54" s="7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7.25" customHeight="1" spans="1:25" x14ac:dyDescent="0.25">
      <c r="A55" s="7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7.25" customHeight="1" spans="1:25" x14ac:dyDescent="0.25">
      <c r="A56" s="7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7.25" customHeight="1" spans="1:25" x14ac:dyDescent="0.25">
      <c r="A57" s="7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7.25" customHeight="1" spans="1:25" x14ac:dyDescent="0.25">
      <c r="A58" s="7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7.25" customHeight="1" spans="1:25" x14ac:dyDescent="0.25">
      <c r="A59" s="7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7.25" customHeight="1" spans="1:25" x14ac:dyDescent="0.25">
      <c r="A60" s="7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7.25" customHeight="1" spans="1:25" x14ac:dyDescent="0.25">
      <c r="A61" s="7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7.25" customHeight="1" spans="1:25" x14ac:dyDescent="0.25">
      <c r="A62" s="7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7.25" customHeight="1" spans="1:25" x14ac:dyDescent="0.25">
      <c r="A63" s="7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7.25" customHeight="1" spans="1:25" x14ac:dyDescent="0.25">
      <c r="A64" s="7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7.25" customHeight="1" spans="1:25" x14ac:dyDescent="0.25">
      <c r="A65" s="7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7.25" customHeight="1" spans="1:25" x14ac:dyDescent="0.25">
      <c r="A66" s="7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7.25" customHeight="1" spans="1:25" x14ac:dyDescent="0.25">
      <c r="A67" s="7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7.25" customHeight="1" spans="1:25" x14ac:dyDescent="0.25">
      <c r="A68" s="7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7.25" customHeight="1" spans="1:25" x14ac:dyDescent="0.25">
      <c r="A69" s="7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7.25" customHeight="1" spans="1:25" x14ac:dyDescent="0.25">
      <c r="A70" s="7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7.25" customHeight="1" spans="1:25" x14ac:dyDescent="0.25">
      <c r="A71" s="7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7.25" customHeight="1" spans="1:25" x14ac:dyDescent="0.25">
      <c r="A72" s="7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7.25" customHeight="1" spans="1:25" x14ac:dyDescent="0.25">
      <c r="A73" s="7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7.25" customHeight="1" spans="1:25" x14ac:dyDescent="0.25">
      <c r="A74" s="7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7.25" customHeight="1" spans="1:25" x14ac:dyDescent="0.25">
      <c r="A75" s="7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7.25" customHeight="1" spans="1:25" x14ac:dyDescent="0.25">
      <c r="A76" s="7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7.25" customHeight="1" spans="1:25" x14ac:dyDescent="0.25">
      <c r="A77" s="7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7.25" customHeight="1" spans="1:25" x14ac:dyDescent="0.25">
      <c r="A78" s="7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7.25" customHeight="1" spans="1:25" x14ac:dyDescent="0.25">
      <c r="A79" s="7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7.25" customHeight="1" spans="1:25" x14ac:dyDescent="0.25">
      <c r="A80" s="7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7.25" customHeight="1" spans="1:25" x14ac:dyDescent="0.25">
      <c r="A81" s="7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7.25" customHeight="1" spans="1:25" x14ac:dyDescent="0.25">
      <c r="A82" s="7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7.25" customHeight="1" spans="1:25" x14ac:dyDescent="0.25">
      <c r="A83" s="7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7.25" customHeight="1" spans="1:25" x14ac:dyDescent="0.25">
      <c r="A84" s="7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7.25" customHeight="1" spans="1:25" x14ac:dyDescent="0.25">
      <c r="A85" s="7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7.25" customHeight="1" spans="1:25" x14ac:dyDescent="0.25">
      <c r="A86" s="7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7.25" customHeight="1" spans="1:25" x14ac:dyDescent="0.25">
      <c r="A87" s="7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7.25" customHeight="1" spans="1:25" x14ac:dyDescent="0.25">
      <c r="A88" s="7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7.25" customHeight="1" spans="1:25" x14ac:dyDescent="0.25">
      <c r="A89" s="7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7.25" customHeight="1" spans="1:25" x14ac:dyDescent="0.25">
      <c r="A90" s="7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7.25" customHeight="1" spans="1:25" x14ac:dyDescent="0.25">
      <c r="A91" s="7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7.25" customHeight="1" spans="1:25" x14ac:dyDescent="0.25">
      <c r="A92" s="7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7.25" customHeight="1" spans="1:25" x14ac:dyDescent="0.25">
      <c r="A93" s="7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7.25" customHeight="1" spans="1:25" x14ac:dyDescent="0.25">
      <c r="A94" s="7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7.25" customHeight="1" spans="1:25" x14ac:dyDescent="0.25">
      <c r="A95" s="7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7.25" customHeight="1" spans="1:25" x14ac:dyDescent="0.25">
      <c r="A96" s="7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7.25" customHeight="1" spans="1:25" x14ac:dyDescent="0.25">
      <c r="A97" s="7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7.25" customHeight="1" spans="1:25" x14ac:dyDescent="0.25">
      <c r="A98" s="7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7.25" customHeight="1" spans="1:25" x14ac:dyDescent="0.25">
      <c r="A99" s="7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7.25" customHeight="1" spans="1:25" x14ac:dyDescent="0.25">
      <c r="A100" s="7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7.25" customHeight="1" spans="1:25" x14ac:dyDescent="0.25">
      <c r="A101" s="7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7.25" customHeight="1" spans="1:25" x14ac:dyDescent="0.25">
      <c r="A102" s="7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7.25" customHeight="1" spans="1:25" x14ac:dyDescent="0.25">
      <c r="A103" s="7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7.25" customHeight="1" spans="1:25" x14ac:dyDescent="0.25">
      <c r="A104" s="7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7.25" customHeight="1" spans="1:25" x14ac:dyDescent="0.25">
      <c r="A105" s="7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7.25" customHeight="1" spans="1:25" x14ac:dyDescent="0.25">
      <c r="A106" s="7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7.25" customHeight="1" spans="1:25" x14ac:dyDescent="0.25">
      <c r="A107" s="7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7.25" customHeight="1" spans="1:25" x14ac:dyDescent="0.25">
      <c r="A108" s="7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7.25" customHeight="1" spans="1:25" x14ac:dyDescent="0.25">
      <c r="A109" s="7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7.25" customHeight="1" spans="1:25" x14ac:dyDescent="0.25">
      <c r="A110" s="7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7.25" customHeight="1" spans="1:25" x14ac:dyDescent="0.25">
      <c r="A111" s="7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7.25" customHeight="1" spans="1:25" x14ac:dyDescent="0.25">
      <c r="A112" s="7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7.25" customHeight="1" spans="1:25" x14ac:dyDescent="0.25">
      <c r="A113" s="7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7.25" customHeight="1" spans="1:25" x14ac:dyDescent="0.25">
      <c r="A114" s="7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7.25" customHeight="1" spans="1:25" x14ac:dyDescent="0.25">
      <c r="A115" s="7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7.25" customHeight="1" spans="1:25" x14ac:dyDescent="0.25">
      <c r="A116" s="7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7.25" customHeight="1" spans="1:25" x14ac:dyDescent="0.25">
      <c r="A117" s="7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7.25" customHeight="1" spans="1:25" x14ac:dyDescent="0.25">
      <c r="A118" s="7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7.25" customHeight="1" spans="1:25" x14ac:dyDescent="0.25">
      <c r="A119" s="7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7.25" customHeight="1" spans="1:25" x14ac:dyDescent="0.25">
      <c r="A120" s="7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7.25" customHeight="1" spans="1:25" x14ac:dyDescent="0.25">
      <c r="A121" s="7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7.25" customHeight="1" spans="1:25" x14ac:dyDescent="0.25">
      <c r="A122" s="7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7.25" customHeight="1" spans="1:25" x14ac:dyDescent="0.25">
      <c r="A123" s="7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7.25" customHeight="1" spans="1:25" x14ac:dyDescent="0.25">
      <c r="A124" s="7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7.25" customHeight="1" spans="1:25" x14ac:dyDescent="0.25">
      <c r="A125" s="7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7.25" customHeight="1" spans="1:25" x14ac:dyDescent="0.25">
      <c r="A126" s="7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7.25" customHeight="1" spans="1:25" x14ac:dyDescent="0.25">
      <c r="A127" s="7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7.25" customHeight="1" spans="1:25" x14ac:dyDescent="0.25">
      <c r="A128" s="7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7.25" customHeight="1" spans="1:25" x14ac:dyDescent="0.25">
      <c r="A129" s="7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7.25" customHeight="1" spans="1:25" x14ac:dyDescent="0.25">
      <c r="A130" s="7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7.25" customHeight="1" spans="1:25" x14ac:dyDescent="0.25">
      <c r="A131" s="7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7.25" customHeight="1" spans="1:25" x14ac:dyDescent="0.25">
      <c r="A132" s="7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7.25" customHeight="1" spans="1:25" x14ac:dyDescent="0.25">
      <c r="A133" s="7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7.25" customHeight="1" spans="1:25" x14ac:dyDescent="0.25">
      <c r="A134" s="7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7.25" customHeight="1" spans="1:25" x14ac:dyDescent="0.25">
      <c r="A135" s="7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7.25" customHeight="1" spans="1:25" x14ac:dyDescent="0.25">
      <c r="A136" s="7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7.25" customHeight="1" spans="1:25" x14ac:dyDescent="0.25">
      <c r="A137" s="7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7.25" customHeight="1" spans="1:25" x14ac:dyDescent="0.25">
      <c r="A138" s="7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7.25" customHeight="1" spans="1:25" x14ac:dyDescent="0.25">
      <c r="A139" s="7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7.25" customHeight="1" spans="1:25" x14ac:dyDescent="0.25">
      <c r="A140" s="7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7.25" customHeight="1" spans="1:25" x14ac:dyDescent="0.25">
      <c r="A141" s="7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7.25" customHeight="1" spans="1:25" x14ac:dyDescent="0.25">
      <c r="A142" s="7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7.25" customHeight="1" spans="1:25" x14ac:dyDescent="0.25">
      <c r="A143" s="7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7.25" customHeight="1" spans="1:25" x14ac:dyDescent="0.25">
      <c r="A144" s="7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7.25" customHeight="1" spans="1:25" x14ac:dyDescent="0.25">
      <c r="A145" s="7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7.25" customHeight="1" spans="1:25" x14ac:dyDescent="0.25">
      <c r="A146" s="7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7.25" customHeight="1" spans="1:25" x14ac:dyDescent="0.25">
      <c r="A147" s="7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7.25" customHeight="1" spans="1:25" x14ac:dyDescent="0.25">
      <c r="A148" s="7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7.25" customHeight="1" spans="1:25" x14ac:dyDescent="0.25">
      <c r="A149" s="7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7.25" customHeight="1" spans="1:25" x14ac:dyDescent="0.25">
      <c r="A150" s="7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7.25" customHeight="1" spans="1:25" x14ac:dyDescent="0.25">
      <c r="A151" s="7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7.25" customHeight="1" spans="1:25" x14ac:dyDescent="0.25">
      <c r="A152" s="7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7.25" customHeight="1" spans="1:25" x14ac:dyDescent="0.25">
      <c r="A153" s="7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7.25" customHeight="1" spans="1:25" x14ac:dyDescent="0.25">
      <c r="A154" s="7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7.25" customHeight="1" spans="1:25" x14ac:dyDescent="0.25">
      <c r="A155" s="7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7.25" customHeight="1" spans="1:25" x14ac:dyDescent="0.25">
      <c r="A156" s="7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7.25" customHeight="1" spans="1:25" x14ac:dyDescent="0.25">
      <c r="A157" s="7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7.25" customHeight="1" spans="1:25" x14ac:dyDescent="0.25">
      <c r="A158" s="7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7.25" customHeight="1" spans="1:25" x14ac:dyDescent="0.25">
      <c r="A159" s="7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7.25" customHeight="1" spans="1:25" x14ac:dyDescent="0.25">
      <c r="A160" s="7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7.25" customHeight="1" spans="1:25" x14ac:dyDescent="0.25">
      <c r="A161" s="7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7.25" customHeight="1" spans="1:25" x14ac:dyDescent="0.25">
      <c r="A162" s="7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7.25" customHeight="1" spans="1:25" x14ac:dyDescent="0.25">
      <c r="A163" s="7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7.25" customHeight="1" spans="1:25" x14ac:dyDescent="0.25">
      <c r="A164" s="7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7.25" customHeight="1" spans="1:25" x14ac:dyDescent="0.25">
      <c r="A165" s="7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7.25" customHeight="1" spans="1:25" x14ac:dyDescent="0.25">
      <c r="A166" s="7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7.25" customHeight="1" spans="1:25" x14ac:dyDescent="0.25">
      <c r="A167" s="7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7.25" customHeight="1" spans="1:25" x14ac:dyDescent="0.25">
      <c r="A168" s="7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7.25" customHeight="1" spans="1:25" x14ac:dyDescent="0.25">
      <c r="A169" s="7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7.25" customHeight="1" spans="1:25" x14ac:dyDescent="0.25">
      <c r="A170" s="7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7.25" customHeight="1" spans="1:25" x14ac:dyDescent="0.25">
      <c r="A171" s="7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7.25" customHeight="1" spans="1:25" x14ac:dyDescent="0.25">
      <c r="A172" s="7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7.25" customHeight="1" spans="1:25" x14ac:dyDescent="0.25">
      <c r="A173" s="7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7.25" customHeight="1" spans="1:25" x14ac:dyDescent="0.25">
      <c r="A174" s="7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7.25" customHeight="1" spans="1:25" x14ac:dyDescent="0.25">
      <c r="A175" s="7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7.25" customHeight="1" spans="1:25" x14ac:dyDescent="0.25">
      <c r="A176" s="7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7.25" customHeight="1" spans="1:25" x14ac:dyDescent="0.25">
      <c r="A177" s="7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7.25" customHeight="1" spans="1:25" x14ac:dyDescent="0.25">
      <c r="A178" s="7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7.25" customHeight="1" spans="1:25" x14ac:dyDescent="0.25">
      <c r="A179" s="7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7.25" customHeight="1" spans="1:25" x14ac:dyDescent="0.25">
      <c r="A180" s="7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7.25" customHeight="1" spans="1:25" x14ac:dyDescent="0.25">
      <c r="A181" s="7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7.25" customHeight="1" spans="1:25" x14ac:dyDescent="0.25">
      <c r="A182" s="7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7.25" customHeight="1" spans="1:25" x14ac:dyDescent="0.25">
      <c r="A183" s="7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7.25" customHeight="1" spans="1:25" x14ac:dyDescent="0.25">
      <c r="A184" s="7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7.25" customHeight="1" spans="1:25" x14ac:dyDescent="0.25">
      <c r="A185" s="7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7.25" customHeight="1" spans="1:25" x14ac:dyDescent="0.25">
      <c r="A186" s="7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7.25" customHeight="1" spans="1:25" x14ac:dyDescent="0.25">
      <c r="A187" s="7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7.25" customHeight="1" spans="1:25" x14ac:dyDescent="0.25">
      <c r="A188" s="7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7.25" customHeight="1" spans="1:25" x14ac:dyDescent="0.25">
      <c r="A189" s="7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7.25" customHeight="1" spans="1:25" x14ac:dyDescent="0.25">
      <c r="A190" s="7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7.25" customHeight="1" spans="1:25" x14ac:dyDescent="0.25">
      <c r="A191" s="7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7.25" customHeight="1" spans="1:25" x14ac:dyDescent="0.25">
      <c r="A192" s="7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7.25" customHeight="1" spans="1:25" x14ac:dyDescent="0.25">
      <c r="A193" s="7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7.25" customHeight="1" spans="1:25" x14ac:dyDescent="0.25">
      <c r="A194" s="7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7.25" customHeight="1" spans="1:25" x14ac:dyDescent="0.25">
      <c r="A195" s="7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7.25" customHeight="1" spans="1:25" x14ac:dyDescent="0.25">
      <c r="A196" s="7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7.25" customHeight="1" spans="1:25" x14ac:dyDescent="0.25">
      <c r="A197" s="7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7.25" customHeight="1" spans="1:25" x14ac:dyDescent="0.25">
      <c r="A198" s="7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7.25" customHeight="1" spans="1:25" x14ac:dyDescent="0.25">
      <c r="A199" s="7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7.25" customHeight="1" spans="1:25" x14ac:dyDescent="0.25">
      <c r="A200" s="7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7.25" customHeight="1" spans="1:25" x14ac:dyDescent="0.25">
      <c r="A201" s="7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7.25" customHeight="1" spans="1:25" x14ac:dyDescent="0.25">
      <c r="A202" s="7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7.25" customHeight="1" spans="1:25" x14ac:dyDescent="0.25">
      <c r="A203" s="7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7.25" customHeight="1" spans="1:25" x14ac:dyDescent="0.25">
      <c r="A204" s="7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7.25" customHeight="1" spans="1:25" x14ac:dyDescent="0.25">
      <c r="A205" s="7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7.25" customHeight="1" spans="1:25" x14ac:dyDescent="0.25">
      <c r="A206" s="7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7.25" customHeight="1" spans="1:25" x14ac:dyDescent="0.25">
      <c r="A207" s="7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7.25" customHeight="1" spans="1:25" x14ac:dyDescent="0.25">
      <c r="A208" s="7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7.25" customHeight="1" spans="1:25" x14ac:dyDescent="0.25">
      <c r="A209" s="7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7.25" customHeight="1" spans="1:25" x14ac:dyDescent="0.25">
      <c r="A210" s="7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7.25" customHeight="1" spans="1:25" x14ac:dyDescent="0.25">
      <c r="A211" s="7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7.25" customHeight="1" spans="1:25" x14ac:dyDescent="0.25">
      <c r="A212" s="7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7.25" customHeight="1" spans="1:25" x14ac:dyDescent="0.25">
      <c r="A213" s="7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7.25" customHeight="1" spans="1:25" x14ac:dyDescent="0.25">
      <c r="A214" s="7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7.25" customHeight="1" spans="1:25" x14ac:dyDescent="0.25">
      <c r="A215" s="7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7.25" customHeight="1" spans="1:25" x14ac:dyDescent="0.25">
      <c r="A216" s="7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7.25" customHeight="1" spans="1:25" x14ac:dyDescent="0.25">
      <c r="A217" s="7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7.25" customHeight="1" spans="1:25" x14ac:dyDescent="0.25">
      <c r="A218" s="7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7.25" customHeight="1" spans="1:25" x14ac:dyDescent="0.25">
      <c r="A219" s="7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7.25" customHeight="1" spans="1:25" x14ac:dyDescent="0.25">
      <c r="A220" s="7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7.25" customHeight="1" spans="1:25" x14ac:dyDescent="0.25">
      <c r="A221" s="7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7.25" customHeight="1" spans="1:25" x14ac:dyDescent="0.25">
      <c r="A222" s="7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7.25" customHeight="1" spans="1:25" x14ac:dyDescent="0.25">
      <c r="A223" s="7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7.25" customHeight="1" spans="1:25" x14ac:dyDescent="0.25">
      <c r="A224" s="7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7.25" customHeight="1" spans="1:25" x14ac:dyDescent="0.25">
      <c r="A225" s="7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7.25" customHeight="1" spans="1:25" x14ac:dyDescent="0.25">
      <c r="A226" s="7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7.25" customHeight="1" spans="1:25" x14ac:dyDescent="0.25">
      <c r="A227" s="7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7.25" customHeight="1" spans="1:25" x14ac:dyDescent="0.25">
      <c r="A228" s="7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7.25" customHeight="1" spans="1:25" x14ac:dyDescent="0.25">
      <c r="A229" s="7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7.25" customHeight="1" spans="1:25" x14ac:dyDescent="0.25">
      <c r="A230" s="7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7.25" customHeight="1" spans="1:25" x14ac:dyDescent="0.25">
      <c r="A231" s="7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7.25" customHeight="1" spans="1:25" x14ac:dyDescent="0.25">
      <c r="A232" s="7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7.25" customHeight="1" spans="1:25" x14ac:dyDescent="0.25">
      <c r="A233" s="7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7.25" customHeight="1" spans="1:25" x14ac:dyDescent="0.25">
      <c r="A234" s="7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7.25" customHeight="1" spans="1:25" x14ac:dyDescent="0.25">
      <c r="A235" s="7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7.25" customHeight="1" spans="1:25" x14ac:dyDescent="0.25">
      <c r="A236" s="7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7.25" customHeight="1" spans="1:25" x14ac:dyDescent="0.25">
      <c r="A237" s="7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7.25" customHeight="1" spans="1:25" x14ac:dyDescent="0.25">
      <c r="A238" s="7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7.25" customHeight="1" spans="1:25" x14ac:dyDescent="0.25">
      <c r="A239" s="7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7.25" customHeight="1" spans="1:25" x14ac:dyDescent="0.25">
      <c r="A240" s="7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7.25" customHeight="1" spans="1:25" x14ac:dyDescent="0.25">
      <c r="A241" s="7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7.25" customHeight="1" spans="1:25" x14ac:dyDescent="0.25">
      <c r="A242" s="7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7.25" customHeight="1" spans="1:25" x14ac:dyDescent="0.25">
      <c r="A243" s="7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7.25" customHeight="1" spans="1:25" x14ac:dyDescent="0.25">
      <c r="A244" s="7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7.25" customHeight="1" spans="1:25" x14ac:dyDescent="0.25">
      <c r="A245" s="7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7.25" customHeight="1" spans="1:25" x14ac:dyDescent="0.25">
      <c r="A246" s="7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7.25" customHeight="1" spans="1:25" x14ac:dyDescent="0.25">
      <c r="A247" s="7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7.25" customHeight="1" spans="1:25" x14ac:dyDescent="0.25">
      <c r="A248" s="7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7.25" customHeight="1" spans="1:25" x14ac:dyDescent="0.25">
      <c r="A249" s="7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7.25" customHeight="1" spans="1:25" x14ac:dyDescent="0.25">
      <c r="A250" s="7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7.25" customHeight="1" spans="1:25" x14ac:dyDescent="0.25">
      <c r="A251" s="7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7.25" customHeight="1" spans="1:25" x14ac:dyDescent="0.25">
      <c r="A252" s="7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7.25" customHeight="1" spans="1:25" x14ac:dyDescent="0.25">
      <c r="A253" s="7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7.25" customHeight="1" spans="1:25" x14ac:dyDescent="0.25">
      <c r="A254" s="7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7.25" customHeight="1" spans="1:25" x14ac:dyDescent="0.25">
      <c r="A255" s="7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7.25" customHeight="1" spans="1:25" x14ac:dyDescent="0.25">
      <c r="A256" s="7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7.25" customHeight="1" spans="1:25" x14ac:dyDescent="0.25">
      <c r="A257" s="7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7.25" customHeight="1" spans="1:25" x14ac:dyDescent="0.25">
      <c r="A258" s="7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7.25" customHeight="1" spans="1:25" x14ac:dyDescent="0.25">
      <c r="A259" s="7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7.25" customHeight="1" spans="1:25" x14ac:dyDescent="0.25">
      <c r="A260" s="7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7.25" customHeight="1" spans="1:25" x14ac:dyDescent="0.25">
      <c r="A261" s="7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7.25" customHeight="1" spans="1:25" x14ac:dyDescent="0.25">
      <c r="A262" s="7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7.25" customHeight="1" spans="1:25" x14ac:dyDescent="0.25">
      <c r="A263" s="7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7.25" customHeight="1" spans="1:25" x14ac:dyDescent="0.25">
      <c r="A264" s="7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7.25" customHeight="1" spans="1:25" x14ac:dyDescent="0.25">
      <c r="A265" s="7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7.25" customHeight="1" spans="1:25" x14ac:dyDescent="0.25">
      <c r="A266" s="7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7.25" customHeight="1" spans="1:25" x14ac:dyDescent="0.25">
      <c r="A267" s="7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7.25" customHeight="1" spans="1:25" x14ac:dyDescent="0.25">
      <c r="A268" s="7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7.25" customHeight="1" spans="1:25" x14ac:dyDescent="0.25">
      <c r="A269" s="7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7.25" customHeight="1" spans="1:25" x14ac:dyDescent="0.25">
      <c r="A270" s="7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7.25" customHeight="1" spans="1:25" x14ac:dyDescent="0.25">
      <c r="A271" s="7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7.25" customHeight="1" spans="1:25" x14ac:dyDescent="0.25">
      <c r="A272" s="7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7.25" customHeight="1" spans="1:25" x14ac:dyDescent="0.25">
      <c r="A273" s="7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7.25" customHeight="1" spans="1:25" x14ac:dyDescent="0.25">
      <c r="A274" s="7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7.25" customHeight="1" spans="1:25" x14ac:dyDescent="0.25">
      <c r="A275" s="7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7.25" customHeight="1" spans="1:25" x14ac:dyDescent="0.25">
      <c r="A276" s="7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7.25" customHeight="1" spans="1:25" x14ac:dyDescent="0.25">
      <c r="A277" s="7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7.25" customHeight="1" spans="1:25" x14ac:dyDescent="0.25">
      <c r="A278" s="7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7.25" customHeight="1" spans="1:25" x14ac:dyDescent="0.25">
      <c r="A279" s="7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7.25" customHeight="1" spans="1:25" x14ac:dyDescent="0.25">
      <c r="A280" s="7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7.25" customHeight="1" spans="1:25" x14ac:dyDescent="0.25">
      <c r="A281" s="7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7.25" customHeight="1" spans="1:25" x14ac:dyDescent="0.25">
      <c r="A282" s="7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7.25" customHeight="1" spans="1:25" x14ac:dyDescent="0.25">
      <c r="A283" s="7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7.25" customHeight="1" spans="1:25" x14ac:dyDescent="0.25">
      <c r="A284" s="7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7.25" customHeight="1" spans="1:25" x14ac:dyDescent="0.25">
      <c r="A285" s="7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7.25" customHeight="1" spans="1:25" x14ac:dyDescent="0.25">
      <c r="A286" s="7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7.25" customHeight="1" spans="1:25" x14ac:dyDescent="0.25">
      <c r="A287" s="7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7.25" customHeight="1" spans="1:25" x14ac:dyDescent="0.25">
      <c r="A288" s="7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7.25" customHeight="1" spans="1:25" x14ac:dyDescent="0.25">
      <c r="A289" s="7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7.25" customHeight="1" spans="1:25" x14ac:dyDescent="0.25">
      <c r="A290" s="7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7.25" customHeight="1" spans="1:25" x14ac:dyDescent="0.25">
      <c r="A291" s="7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7.25" customHeight="1" spans="1:25" x14ac:dyDescent="0.25">
      <c r="A292" s="7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7.25" customHeight="1" spans="1:25" x14ac:dyDescent="0.25">
      <c r="A293" s="7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7.25" customHeight="1" spans="1:25" x14ac:dyDescent="0.25">
      <c r="A294" s="7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7.25" customHeight="1" spans="1:25" x14ac:dyDescent="0.25">
      <c r="A295" s="7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7.25" customHeight="1" spans="1:25" x14ac:dyDescent="0.25">
      <c r="A296" s="7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7.25" customHeight="1" spans="1:25" x14ac:dyDescent="0.25">
      <c r="A297" s="7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7.25" customHeight="1" spans="1:25" x14ac:dyDescent="0.25">
      <c r="A298" s="7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7.25" customHeight="1" spans="1:25" x14ac:dyDescent="0.25">
      <c r="A299" s="7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7.25" customHeight="1" spans="1:25" x14ac:dyDescent="0.25">
      <c r="A300" s="7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7.25" customHeight="1" spans="1:25" x14ac:dyDescent="0.25">
      <c r="A301" s="7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7.25" customHeight="1" spans="1:25" x14ac:dyDescent="0.25">
      <c r="A302" s="7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7.25" customHeight="1" spans="1:25" x14ac:dyDescent="0.25">
      <c r="A303" s="7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7.25" customHeight="1" spans="1:25" x14ac:dyDescent="0.25">
      <c r="A304" s="7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7.25" customHeight="1" spans="1:25" x14ac:dyDescent="0.25">
      <c r="A305" s="7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7.25" customHeight="1" spans="1:25" x14ac:dyDescent="0.25">
      <c r="A306" s="7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7.25" customHeight="1" spans="1:25" x14ac:dyDescent="0.25">
      <c r="A307" s="7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7.25" customHeight="1" spans="1:25" x14ac:dyDescent="0.25">
      <c r="A308" s="7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7.25" customHeight="1" spans="1:25" x14ac:dyDescent="0.25">
      <c r="A309" s="7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7.25" customHeight="1" spans="1:25" x14ac:dyDescent="0.25">
      <c r="A310" s="7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7.25" customHeight="1" spans="1:25" x14ac:dyDescent="0.25">
      <c r="A311" s="7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7.25" customHeight="1" spans="1:25" x14ac:dyDescent="0.25">
      <c r="A312" s="7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7.25" customHeight="1" spans="1:25" x14ac:dyDescent="0.25">
      <c r="A313" s="7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7.25" customHeight="1" spans="1:25" x14ac:dyDescent="0.25">
      <c r="A314" s="7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7.25" customHeight="1" spans="1:25" x14ac:dyDescent="0.25">
      <c r="A315" s="7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7.25" customHeight="1" spans="1:25" x14ac:dyDescent="0.25">
      <c r="A316" s="7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7.25" customHeight="1" spans="1:25" x14ac:dyDescent="0.25">
      <c r="A317" s="7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7.25" customHeight="1" spans="1:25" x14ac:dyDescent="0.25">
      <c r="A318" s="7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7.25" customHeight="1" spans="1:25" x14ac:dyDescent="0.25">
      <c r="A319" s="7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7.25" customHeight="1" spans="1:25" x14ac:dyDescent="0.25">
      <c r="A320" s="7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7.25" customHeight="1" spans="1:25" x14ac:dyDescent="0.25">
      <c r="A321" s="7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7.25" customHeight="1" spans="1:25" x14ac:dyDescent="0.25">
      <c r="A322" s="7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7.25" customHeight="1" spans="1:25" x14ac:dyDescent="0.25">
      <c r="A323" s="7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7.25" customHeight="1" spans="1:25" x14ac:dyDescent="0.25">
      <c r="A324" s="7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7.25" customHeight="1" spans="1:25" x14ac:dyDescent="0.25">
      <c r="A325" s="7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7.25" customHeight="1" spans="1:25" x14ac:dyDescent="0.25">
      <c r="A326" s="7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7.25" customHeight="1" spans="1:25" x14ac:dyDescent="0.25">
      <c r="A327" s="7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7.25" customHeight="1" spans="1:25" x14ac:dyDescent="0.25">
      <c r="A328" s="7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7.25" customHeight="1" spans="1:25" x14ac:dyDescent="0.25">
      <c r="A329" s="7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7.25" customHeight="1" spans="1:25" x14ac:dyDescent="0.25">
      <c r="A330" s="7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7.25" customHeight="1" spans="1:25" x14ac:dyDescent="0.25">
      <c r="A331" s="7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7.25" customHeight="1" spans="1:25" x14ac:dyDescent="0.25">
      <c r="A332" s="7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7.25" customHeight="1" spans="1:25" x14ac:dyDescent="0.25">
      <c r="A333" s="7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7.25" customHeight="1" spans="1:25" x14ac:dyDescent="0.25">
      <c r="A334" s="7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7.25" customHeight="1" spans="1:25" x14ac:dyDescent="0.25">
      <c r="A335" s="7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7.25" customHeight="1" spans="1:25" x14ac:dyDescent="0.25">
      <c r="A336" s="7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7.25" customHeight="1" spans="1:25" x14ac:dyDescent="0.25">
      <c r="A337" s="7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7.25" customHeight="1" spans="1:25" x14ac:dyDescent="0.25">
      <c r="A338" s="7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7.25" customHeight="1" spans="1:25" x14ac:dyDescent="0.25">
      <c r="A339" s="7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7.25" customHeight="1" spans="1:25" x14ac:dyDescent="0.25">
      <c r="A340" s="7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7.25" customHeight="1" spans="1:25" x14ac:dyDescent="0.25">
      <c r="A341" s="7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7.25" customHeight="1" spans="1:25" x14ac:dyDescent="0.25">
      <c r="A342" s="7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7.25" customHeight="1" spans="1:25" x14ac:dyDescent="0.25">
      <c r="A343" s="7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7.25" customHeight="1" spans="1:25" x14ac:dyDescent="0.25">
      <c r="A344" s="7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7.25" customHeight="1" spans="1:25" x14ac:dyDescent="0.25">
      <c r="A345" s="7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7.25" customHeight="1" spans="1:25" x14ac:dyDescent="0.25">
      <c r="A346" s="7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7.25" customHeight="1" spans="1:25" x14ac:dyDescent="0.25">
      <c r="A347" s="7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7.25" customHeight="1" spans="1:25" x14ac:dyDescent="0.25">
      <c r="A348" s="7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7.25" customHeight="1" spans="1:25" x14ac:dyDescent="0.25">
      <c r="A349" s="7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7.25" customHeight="1" spans="1:25" x14ac:dyDescent="0.25">
      <c r="A350" s="7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7.25" customHeight="1" spans="1:25" x14ac:dyDescent="0.25">
      <c r="A351" s="7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7.25" customHeight="1" spans="1:25" x14ac:dyDescent="0.25">
      <c r="A352" s="7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7.25" customHeight="1" spans="1:25" x14ac:dyDescent="0.25">
      <c r="A353" s="7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7.25" customHeight="1" spans="1:25" x14ac:dyDescent="0.25">
      <c r="A354" s="7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7.25" customHeight="1" spans="1:25" x14ac:dyDescent="0.25">
      <c r="A355" s="7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7.25" customHeight="1" spans="1:25" x14ac:dyDescent="0.25">
      <c r="A356" s="7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7.25" customHeight="1" spans="1:25" x14ac:dyDescent="0.25">
      <c r="A357" s="7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7.25" customHeight="1" spans="1:25" x14ac:dyDescent="0.25">
      <c r="A358" s="7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7.25" customHeight="1" spans="1:25" x14ac:dyDescent="0.25">
      <c r="A359" s="7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7.25" customHeight="1" spans="1:25" x14ac:dyDescent="0.25">
      <c r="A360" s="7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7.25" customHeight="1" spans="1:25" x14ac:dyDescent="0.25">
      <c r="A361" s="7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7.25" customHeight="1" spans="1:25" x14ac:dyDescent="0.25">
      <c r="A362" s="7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7.25" customHeight="1" spans="1:25" x14ac:dyDescent="0.25">
      <c r="A363" s="7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7.25" customHeight="1" spans="1:25" x14ac:dyDescent="0.25">
      <c r="A364" s="7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7.25" customHeight="1" spans="1:25" x14ac:dyDescent="0.25">
      <c r="A365" s="7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7.25" customHeight="1" spans="1:25" x14ac:dyDescent="0.25">
      <c r="A366" s="7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7.25" customHeight="1" spans="1:25" x14ac:dyDescent="0.25">
      <c r="A367" s="7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7.25" customHeight="1" spans="1:25" x14ac:dyDescent="0.25">
      <c r="A368" s="7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7.25" customHeight="1" spans="1:25" x14ac:dyDescent="0.25">
      <c r="A369" s="7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7.25" customHeight="1" spans="1:25" x14ac:dyDescent="0.25">
      <c r="A370" s="7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7.25" customHeight="1" spans="1:25" x14ac:dyDescent="0.25">
      <c r="A371" s="7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7.25" customHeight="1" spans="1:25" x14ac:dyDescent="0.25">
      <c r="A372" s="7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7.25" customHeight="1" spans="1:25" x14ac:dyDescent="0.25">
      <c r="A373" s="7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7.25" customHeight="1" spans="1:25" x14ac:dyDescent="0.25">
      <c r="A374" s="7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7.25" customHeight="1" spans="1:25" x14ac:dyDescent="0.25">
      <c r="A375" s="7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7.25" customHeight="1" spans="1:25" x14ac:dyDescent="0.25">
      <c r="A376" s="7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7.25" customHeight="1" spans="1:25" x14ac:dyDescent="0.25">
      <c r="A377" s="7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7.25" customHeight="1" spans="1:25" x14ac:dyDescent="0.25">
      <c r="A378" s="7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7.25" customHeight="1" spans="1:25" x14ac:dyDescent="0.25">
      <c r="A379" s="7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7.25" customHeight="1" spans="1:25" x14ac:dyDescent="0.25">
      <c r="A380" s="7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7.25" customHeight="1" spans="1:25" x14ac:dyDescent="0.25">
      <c r="A381" s="7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7.25" customHeight="1" spans="1:25" x14ac:dyDescent="0.25">
      <c r="A382" s="7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7.25" customHeight="1" spans="1:25" x14ac:dyDescent="0.25">
      <c r="A383" s="7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7.25" customHeight="1" spans="1:25" x14ac:dyDescent="0.25">
      <c r="A384" s="7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7.25" customHeight="1" spans="1:25" x14ac:dyDescent="0.25">
      <c r="A385" s="7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7.25" customHeight="1" spans="1:25" x14ac:dyDescent="0.25">
      <c r="A386" s="7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7.25" customHeight="1" spans="1:25" x14ac:dyDescent="0.25">
      <c r="A387" s="7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7.25" customHeight="1" spans="1:25" x14ac:dyDescent="0.25">
      <c r="A388" s="7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7.25" customHeight="1" spans="1:25" x14ac:dyDescent="0.25">
      <c r="A389" s="7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7.25" customHeight="1" spans="1:25" x14ac:dyDescent="0.25">
      <c r="A390" s="7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7.25" customHeight="1" spans="1:25" x14ac:dyDescent="0.25">
      <c r="A391" s="7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7.25" customHeight="1" spans="1:25" x14ac:dyDescent="0.25">
      <c r="A392" s="7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7.25" customHeight="1" spans="1:25" x14ac:dyDescent="0.25">
      <c r="A393" s="7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7.25" customHeight="1" spans="1:25" x14ac:dyDescent="0.25">
      <c r="A394" s="7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7.25" customHeight="1" spans="1:25" x14ac:dyDescent="0.25">
      <c r="A395" s="7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7.25" customHeight="1" spans="1:25" x14ac:dyDescent="0.25">
      <c r="A396" s="7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7.25" customHeight="1" spans="1:25" x14ac:dyDescent="0.25">
      <c r="A397" s="7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7.25" customHeight="1" spans="1:25" x14ac:dyDescent="0.25">
      <c r="A398" s="7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7.25" customHeight="1" spans="1:25" x14ac:dyDescent="0.25">
      <c r="A399" s="7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7.25" customHeight="1" spans="1:25" x14ac:dyDescent="0.25">
      <c r="A400" s="7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7.25" customHeight="1" spans="1:25" x14ac:dyDescent="0.25">
      <c r="A401" s="7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7.25" customHeight="1" spans="1:25" x14ac:dyDescent="0.25">
      <c r="A402" s="7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7.25" customHeight="1" spans="1:25" x14ac:dyDescent="0.25">
      <c r="A403" s="7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7.25" customHeight="1" spans="1:25" x14ac:dyDescent="0.25">
      <c r="A404" s="7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7.25" customHeight="1" spans="1:25" x14ac:dyDescent="0.25">
      <c r="A405" s="7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7.25" customHeight="1" spans="1:25" x14ac:dyDescent="0.25">
      <c r="A406" s="7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7.25" customHeight="1" spans="1:25" x14ac:dyDescent="0.25">
      <c r="A407" s="7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7.25" customHeight="1" spans="1:25" x14ac:dyDescent="0.25">
      <c r="A408" s="7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7.25" customHeight="1" spans="1:25" x14ac:dyDescent="0.25">
      <c r="A409" s="7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7.25" customHeight="1" spans="1:25" x14ac:dyDescent="0.25">
      <c r="A410" s="7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7.25" customHeight="1" spans="1:25" x14ac:dyDescent="0.25">
      <c r="A411" s="7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7.25" customHeight="1" spans="1:25" x14ac:dyDescent="0.25">
      <c r="A412" s="7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7.25" customHeight="1" spans="1:25" x14ac:dyDescent="0.25">
      <c r="A413" s="7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7.25" customHeight="1" spans="1:25" x14ac:dyDescent="0.25">
      <c r="A414" s="7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7.25" customHeight="1" spans="1:25" x14ac:dyDescent="0.25">
      <c r="A415" s="7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7.25" customHeight="1" spans="1:25" x14ac:dyDescent="0.25">
      <c r="A416" s="7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7.25" customHeight="1" spans="1:25" x14ac:dyDescent="0.25">
      <c r="A417" s="7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7.25" customHeight="1" spans="1:25" x14ac:dyDescent="0.25">
      <c r="A418" s="7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7.25" customHeight="1" spans="1:25" x14ac:dyDescent="0.25">
      <c r="A419" s="7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7.25" customHeight="1" spans="1:25" x14ac:dyDescent="0.25">
      <c r="A420" s="7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7.25" customHeight="1" spans="1:25" x14ac:dyDescent="0.25">
      <c r="A421" s="7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7.25" customHeight="1" spans="1:25" x14ac:dyDescent="0.25">
      <c r="A422" s="7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7.25" customHeight="1" spans="1:25" x14ac:dyDescent="0.25">
      <c r="A423" s="7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7.25" customHeight="1" spans="1:25" x14ac:dyDescent="0.25">
      <c r="A424" s="7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7.25" customHeight="1" spans="1:25" x14ac:dyDescent="0.25">
      <c r="A425" s="7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7.25" customHeight="1" spans="1:25" x14ac:dyDescent="0.25">
      <c r="A426" s="7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7.25" customHeight="1" spans="1:25" x14ac:dyDescent="0.25">
      <c r="A427" s="7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7.25" customHeight="1" spans="1:25" x14ac:dyDescent="0.25">
      <c r="A428" s="7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7.25" customHeight="1" spans="1:25" x14ac:dyDescent="0.25">
      <c r="A429" s="7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7.25" customHeight="1" spans="1:25" x14ac:dyDescent="0.25">
      <c r="A430" s="7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7.25" customHeight="1" spans="1:25" x14ac:dyDescent="0.25">
      <c r="A431" s="7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7.25" customHeight="1" spans="1:25" x14ac:dyDescent="0.25">
      <c r="A432" s="7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7.25" customHeight="1" spans="1:25" x14ac:dyDescent="0.25">
      <c r="A433" s="7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7.25" customHeight="1" spans="1:25" x14ac:dyDescent="0.25">
      <c r="A434" s="7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7.25" customHeight="1" spans="1:25" x14ac:dyDescent="0.25">
      <c r="A435" s="7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7.25" customHeight="1" spans="1:25" x14ac:dyDescent="0.25">
      <c r="A436" s="7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7.25" customHeight="1" spans="1:25" x14ac:dyDescent="0.25">
      <c r="A437" s="7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7.25" customHeight="1" spans="1:25" x14ac:dyDescent="0.25">
      <c r="A438" s="7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7.25" customHeight="1" spans="1:25" x14ac:dyDescent="0.25">
      <c r="A439" s="7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7.25" customHeight="1" spans="1:25" x14ac:dyDescent="0.25">
      <c r="A440" s="7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7.25" customHeight="1" spans="1:25" x14ac:dyDescent="0.25">
      <c r="A441" s="7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7.25" customHeight="1" spans="1:25" x14ac:dyDescent="0.25">
      <c r="A442" s="7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7.25" customHeight="1" spans="1:25" x14ac:dyDescent="0.25">
      <c r="A443" s="7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7.25" customHeight="1" spans="1:25" x14ac:dyDescent="0.25">
      <c r="A444" s="7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7.25" customHeight="1" spans="1:25" x14ac:dyDescent="0.25">
      <c r="A445" s="7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7.25" customHeight="1" spans="1:25" x14ac:dyDescent="0.25">
      <c r="A446" s="7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7.25" customHeight="1" spans="1:25" x14ac:dyDescent="0.25">
      <c r="A447" s="7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7.25" customHeight="1" spans="1:25" x14ac:dyDescent="0.25">
      <c r="A448" s="7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7.25" customHeight="1" spans="1:25" x14ac:dyDescent="0.25">
      <c r="A449" s="7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7.25" customHeight="1" spans="1:25" x14ac:dyDescent="0.25">
      <c r="A450" s="7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7.25" customHeight="1" spans="1:25" x14ac:dyDescent="0.25">
      <c r="A451" s="7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7.25" customHeight="1" spans="1:25" x14ac:dyDescent="0.25">
      <c r="A452" s="7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7.25" customHeight="1" spans="1:25" x14ac:dyDescent="0.25">
      <c r="A453" s="7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7.25" customHeight="1" spans="1:25" x14ac:dyDescent="0.25">
      <c r="A454" s="7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7.25" customHeight="1" spans="1:25" x14ac:dyDescent="0.25">
      <c r="A455" s="7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7.25" customHeight="1" spans="1:25" x14ac:dyDescent="0.25">
      <c r="A456" s="7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7.25" customHeight="1" spans="1:25" x14ac:dyDescent="0.25">
      <c r="A457" s="7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7.25" customHeight="1" spans="1:25" x14ac:dyDescent="0.25">
      <c r="A458" s="7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7.25" customHeight="1" spans="1:25" x14ac:dyDescent="0.25">
      <c r="A459" s="7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7.25" customHeight="1" spans="1:25" x14ac:dyDescent="0.25">
      <c r="A460" s="7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7.25" customHeight="1" spans="1:25" x14ac:dyDescent="0.25">
      <c r="A461" s="7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7.25" customHeight="1" spans="1:25" x14ac:dyDescent="0.25">
      <c r="A462" s="7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7.25" customHeight="1" spans="1:25" x14ac:dyDescent="0.25">
      <c r="A463" s="7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7.25" customHeight="1" spans="1:25" x14ac:dyDescent="0.25">
      <c r="A464" s="7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7.25" customHeight="1" spans="1:25" x14ac:dyDescent="0.25">
      <c r="A465" s="7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7.25" customHeight="1" spans="1:25" x14ac:dyDescent="0.25">
      <c r="A466" s="7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7.25" customHeight="1" spans="1:25" x14ac:dyDescent="0.25">
      <c r="A467" s="7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7.25" customHeight="1" spans="1:25" x14ac:dyDescent="0.25">
      <c r="A468" s="7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7.25" customHeight="1" spans="1:25" x14ac:dyDescent="0.25">
      <c r="A469" s="7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7.25" customHeight="1" spans="1:25" x14ac:dyDescent="0.25">
      <c r="A470" s="7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7.25" customHeight="1" spans="1:25" x14ac:dyDescent="0.25">
      <c r="A471" s="7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7.25" customHeight="1" spans="1:25" x14ac:dyDescent="0.25">
      <c r="A472" s="7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7.25" customHeight="1" spans="1:25" x14ac:dyDescent="0.25">
      <c r="A473" s="7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7.25" customHeight="1" spans="1:25" x14ac:dyDescent="0.25">
      <c r="A474" s="7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7.25" customHeight="1" spans="1:25" x14ac:dyDescent="0.25">
      <c r="A475" s="7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7.25" customHeight="1" spans="1:25" x14ac:dyDescent="0.25">
      <c r="A476" s="7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7.25" customHeight="1" spans="1:25" x14ac:dyDescent="0.25">
      <c r="A477" s="7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7.25" customHeight="1" spans="1:25" x14ac:dyDescent="0.25">
      <c r="A478" s="7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7.25" customHeight="1" spans="1:25" x14ac:dyDescent="0.25">
      <c r="A479" s="7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7.25" customHeight="1" spans="1:25" x14ac:dyDescent="0.25">
      <c r="A480" s="7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7.25" customHeight="1" spans="1:25" x14ac:dyDescent="0.25">
      <c r="A481" s="7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7.25" customHeight="1" spans="1:25" x14ac:dyDescent="0.25">
      <c r="A482" s="7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7.25" customHeight="1" spans="1:25" x14ac:dyDescent="0.25">
      <c r="A483" s="7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7.25" customHeight="1" spans="1:25" x14ac:dyDescent="0.25">
      <c r="A484" s="7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7.25" customHeight="1" spans="1:25" x14ac:dyDescent="0.25">
      <c r="A485" s="7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7.25" customHeight="1" spans="1:25" x14ac:dyDescent="0.25">
      <c r="A486" s="7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7.25" customHeight="1" spans="1:25" x14ac:dyDescent="0.25">
      <c r="A487" s="7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7.25" customHeight="1" spans="1:25" x14ac:dyDescent="0.25">
      <c r="A488" s="7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7.25" customHeight="1" spans="1:25" x14ac:dyDescent="0.25">
      <c r="A489" s="7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7.25" customHeight="1" spans="1:25" x14ac:dyDescent="0.25">
      <c r="A490" s="7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7.25" customHeight="1" spans="1:25" x14ac:dyDescent="0.25">
      <c r="A491" s="7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7.25" customHeight="1" spans="1:25" x14ac:dyDescent="0.25">
      <c r="A492" s="7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7.25" customHeight="1" spans="1:25" x14ac:dyDescent="0.25">
      <c r="A493" s="7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7.25" customHeight="1" spans="1:25" x14ac:dyDescent="0.25">
      <c r="A494" s="7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7.25" customHeight="1" spans="1:25" x14ac:dyDescent="0.25">
      <c r="A495" s="7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7.25" customHeight="1" spans="1:25" x14ac:dyDescent="0.25">
      <c r="A496" s="7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7.25" customHeight="1" spans="1:25" x14ac:dyDescent="0.25">
      <c r="A497" s="7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7.25" customHeight="1" spans="1:25" x14ac:dyDescent="0.25">
      <c r="A498" s="7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7.25" customHeight="1" spans="1:25" x14ac:dyDescent="0.25">
      <c r="A499" s="7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7.25" customHeight="1" spans="1:25" x14ac:dyDescent="0.25">
      <c r="A500" s="7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7.25" customHeight="1" spans="1:25" x14ac:dyDescent="0.25">
      <c r="A501" s="7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7.25" customHeight="1" spans="1:25" x14ac:dyDescent="0.25">
      <c r="A502" s="7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7.25" customHeight="1" spans="1:25" x14ac:dyDescent="0.25">
      <c r="A503" s="7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7.25" customHeight="1" spans="1:25" x14ac:dyDescent="0.25">
      <c r="A504" s="7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7.25" customHeight="1" spans="1:25" x14ac:dyDescent="0.25">
      <c r="A505" s="7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7.25" customHeight="1" spans="1:25" x14ac:dyDescent="0.25">
      <c r="A506" s="7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7.25" customHeight="1" spans="1:25" x14ac:dyDescent="0.25">
      <c r="A507" s="7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7.25" customHeight="1" spans="1:25" x14ac:dyDescent="0.25">
      <c r="A508" s="7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7.25" customHeight="1" spans="1:25" x14ac:dyDescent="0.25">
      <c r="A509" s="7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7.25" customHeight="1" spans="1:25" x14ac:dyDescent="0.25">
      <c r="A510" s="7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7.25" customHeight="1" spans="1:25" x14ac:dyDescent="0.25">
      <c r="A511" s="7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7.25" customHeight="1" spans="1:25" x14ac:dyDescent="0.25">
      <c r="A512" s="7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7.25" customHeight="1" spans="1:25" x14ac:dyDescent="0.25">
      <c r="A513" s="7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7.25" customHeight="1" spans="1:25" x14ac:dyDescent="0.25">
      <c r="A514" s="7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7.25" customHeight="1" spans="1:25" x14ac:dyDescent="0.25">
      <c r="A515" s="7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7.25" customHeight="1" spans="1:25" x14ac:dyDescent="0.25">
      <c r="A516" s="7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7.25" customHeight="1" spans="1:25" x14ac:dyDescent="0.25">
      <c r="A517" s="7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7.25" customHeight="1" spans="1:25" x14ac:dyDescent="0.25">
      <c r="A518" s="7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7.25" customHeight="1" spans="1:25" x14ac:dyDescent="0.25">
      <c r="A519" s="7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7.25" customHeight="1" spans="1:25" x14ac:dyDescent="0.25">
      <c r="A520" s="7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7.25" customHeight="1" spans="1:25" x14ac:dyDescent="0.25">
      <c r="A521" s="7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7.25" customHeight="1" spans="1:25" x14ac:dyDescent="0.25">
      <c r="A522" s="7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7.25" customHeight="1" spans="1:25" x14ac:dyDescent="0.25">
      <c r="A523" s="7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7.25" customHeight="1" spans="1:25" x14ac:dyDescent="0.25">
      <c r="A524" s="7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7.25" customHeight="1" spans="1:25" x14ac:dyDescent="0.25">
      <c r="A525" s="7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7.25" customHeight="1" spans="1:25" x14ac:dyDescent="0.25">
      <c r="A526" s="7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7.25" customHeight="1" spans="1:25" x14ac:dyDescent="0.25">
      <c r="A527" s="7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7.25" customHeight="1" spans="1:25" x14ac:dyDescent="0.25">
      <c r="A528" s="7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7.25" customHeight="1" spans="1:25" x14ac:dyDescent="0.25">
      <c r="A529" s="7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7.25" customHeight="1" spans="1:25" x14ac:dyDescent="0.25">
      <c r="A530" s="7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7.25" customHeight="1" spans="1:25" x14ac:dyDescent="0.25">
      <c r="A531" s="7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7.25" customHeight="1" spans="1:25" x14ac:dyDescent="0.25">
      <c r="A532" s="7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7.25" customHeight="1" spans="1:25" x14ac:dyDescent="0.25">
      <c r="A533" s="7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7.25" customHeight="1" spans="1:25" x14ac:dyDescent="0.25">
      <c r="A534" s="7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7.25" customHeight="1" spans="1:25" x14ac:dyDescent="0.25">
      <c r="A535" s="7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7.25" customHeight="1" spans="1:25" x14ac:dyDescent="0.25">
      <c r="A536" s="7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7.25" customHeight="1" spans="1:25" x14ac:dyDescent="0.25">
      <c r="A537" s="7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7.25" customHeight="1" spans="1:25" x14ac:dyDescent="0.25">
      <c r="A538" s="7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7.25" customHeight="1" spans="1:25" x14ac:dyDescent="0.25">
      <c r="A539" s="7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7.25" customHeight="1" spans="1:25" x14ac:dyDescent="0.25">
      <c r="A540" s="7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7.25" customHeight="1" spans="1:25" x14ac:dyDescent="0.25">
      <c r="A541" s="7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7.25" customHeight="1" spans="1:25" x14ac:dyDescent="0.25">
      <c r="A542" s="7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7.25" customHeight="1" spans="1:25" x14ac:dyDescent="0.25">
      <c r="A543" s="7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7.25" customHeight="1" spans="1:25" x14ac:dyDescent="0.25">
      <c r="A544" s="7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7.25" customHeight="1" spans="1:25" x14ac:dyDescent="0.25">
      <c r="A545" s="7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7.25" customHeight="1" spans="1:25" x14ac:dyDescent="0.25">
      <c r="A546" s="7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7.25" customHeight="1" spans="1:25" x14ac:dyDescent="0.25">
      <c r="A547" s="7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7.25" customHeight="1" spans="1:25" x14ac:dyDescent="0.25">
      <c r="A548" s="7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7.25" customHeight="1" spans="1:25" x14ac:dyDescent="0.25">
      <c r="A549" s="7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7.25" customHeight="1" spans="1:25" x14ac:dyDescent="0.25">
      <c r="A550" s="7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7.25" customHeight="1" spans="1:25" x14ac:dyDescent="0.25">
      <c r="A551" s="7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7.25" customHeight="1" spans="1:25" x14ac:dyDescent="0.25">
      <c r="A552" s="7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7.25" customHeight="1" spans="1:25" x14ac:dyDescent="0.25">
      <c r="A553" s="7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7.25" customHeight="1" spans="1:25" x14ac:dyDescent="0.25">
      <c r="A554" s="7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7.25" customHeight="1" spans="1:25" x14ac:dyDescent="0.25">
      <c r="A555" s="7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7.25" customHeight="1" spans="1:25" x14ac:dyDescent="0.25">
      <c r="A556" s="7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7.25" customHeight="1" spans="1:25" x14ac:dyDescent="0.25">
      <c r="A557" s="7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7.25" customHeight="1" spans="1:25" x14ac:dyDescent="0.25">
      <c r="A558" s="7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7.25" customHeight="1" spans="1:25" x14ac:dyDescent="0.25">
      <c r="A559" s="7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7.25" customHeight="1" spans="1:25" x14ac:dyDescent="0.25">
      <c r="A560" s="7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7.25" customHeight="1" spans="1:25" x14ac:dyDescent="0.25">
      <c r="A561" s="7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7.25" customHeight="1" spans="1:25" x14ac:dyDescent="0.25">
      <c r="A562" s="7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7.25" customHeight="1" spans="1:25" x14ac:dyDescent="0.25">
      <c r="A563" s="7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7.25" customHeight="1" spans="1:25" x14ac:dyDescent="0.25">
      <c r="A564" s="7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7.25" customHeight="1" spans="1:25" x14ac:dyDescent="0.25">
      <c r="A565" s="7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7.25" customHeight="1" spans="1:25" x14ac:dyDescent="0.25">
      <c r="A566" s="7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7.25" customHeight="1" spans="1:25" x14ac:dyDescent="0.25">
      <c r="A567" s="7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7.25" customHeight="1" spans="1:25" x14ac:dyDescent="0.25">
      <c r="A568" s="7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7.25" customHeight="1" spans="1:25" x14ac:dyDescent="0.25">
      <c r="A569" s="7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7.25" customHeight="1" spans="1:25" x14ac:dyDescent="0.25">
      <c r="A570" s="7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7.25" customHeight="1" spans="1:25" x14ac:dyDescent="0.25">
      <c r="A571" s="7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7.25" customHeight="1" spans="1:25" x14ac:dyDescent="0.25">
      <c r="A572" s="7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7.25" customHeight="1" spans="1:25" x14ac:dyDescent="0.25">
      <c r="A573" s="7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7.25" customHeight="1" spans="1:25" x14ac:dyDescent="0.25">
      <c r="A574" s="7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7.25" customHeight="1" spans="1:25" x14ac:dyDescent="0.25">
      <c r="A575" s="7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7.25" customHeight="1" spans="1:25" x14ac:dyDescent="0.25">
      <c r="A576" s="7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7.25" customHeight="1" spans="1:25" x14ac:dyDescent="0.25">
      <c r="A577" s="7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7.25" customHeight="1" spans="1:25" x14ac:dyDescent="0.25">
      <c r="A578" s="7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7.25" customHeight="1" spans="1:25" x14ac:dyDescent="0.25">
      <c r="A579" s="7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7.25" customHeight="1" spans="1:25" x14ac:dyDescent="0.25">
      <c r="A580" s="7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7.25" customHeight="1" spans="1:25" x14ac:dyDescent="0.25">
      <c r="A581" s="7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7.25" customHeight="1" spans="1:25" x14ac:dyDescent="0.25">
      <c r="A582" s="7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7.25" customHeight="1" spans="1:25" x14ac:dyDescent="0.25">
      <c r="A583" s="7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7.25" customHeight="1" spans="1:25" x14ac:dyDescent="0.25">
      <c r="A584" s="7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7.25" customHeight="1" spans="1:25" x14ac:dyDescent="0.25">
      <c r="A585" s="7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7.25" customHeight="1" spans="1:25" x14ac:dyDescent="0.25">
      <c r="A586" s="7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7.25" customHeight="1" spans="1:25" x14ac:dyDescent="0.25">
      <c r="A587" s="7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7.25" customHeight="1" spans="1:25" x14ac:dyDescent="0.25">
      <c r="A588" s="7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7.25" customHeight="1" spans="1:25" x14ac:dyDescent="0.25">
      <c r="A589" s="7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7.25" customHeight="1" spans="1:25" x14ac:dyDescent="0.25">
      <c r="A590" s="7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7.25" customHeight="1" spans="1:25" x14ac:dyDescent="0.25">
      <c r="A591" s="7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7.25" customHeight="1" spans="1:25" x14ac:dyDescent="0.25">
      <c r="A592" s="7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7.25" customHeight="1" spans="1:25" x14ac:dyDescent="0.25">
      <c r="A593" s="7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7.25" customHeight="1" spans="1:25" x14ac:dyDescent="0.25">
      <c r="A594" s="7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7.25" customHeight="1" spans="1:25" x14ac:dyDescent="0.25">
      <c r="A595" s="7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7.25" customHeight="1" spans="1:25" x14ac:dyDescent="0.25">
      <c r="A596" s="7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7.25" customHeight="1" spans="1:25" x14ac:dyDescent="0.25">
      <c r="A597" s="7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7.25" customHeight="1" spans="1:25" x14ac:dyDescent="0.25">
      <c r="A598" s="7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7.25" customHeight="1" spans="1:25" x14ac:dyDescent="0.25">
      <c r="A599" s="7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7.25" customHeight="1" spans="1:25" x14ac:dyDescent="0.25">
      <c r="A600" s="7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7.25" customHeight="1" spans="1:25" x14ac:dyDescent="0.25">
      <c r="A601" s="7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7.25" customHeight="1" spans="1:25" x14ac:dyDescent="0.25">
      <c r="A602" s="7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7.25" customHeight="1" spans="1:25" x14ac:dyDescent="0.25">
      <c r="A603" s="7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7.25" customHeight="1" spans="1:25" x14ac:dyDescent="0.25">
      <c r="A604" s="7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7.25" customHeight="1" spans="1:25" x14ac:dyDescent="0.25">
      <c r="A605" s="7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7.25" customHeight="1" spans="1:25" x14ac:dyDescent="0.25">
      <c r="A606" s="7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7.25" customHeight="1" spans="1:25" x14ac:dyDescent="0.25">
      <c r="A607" s="7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7.25" customHeight="1" spans="1:25" x14ac:dyDescent="0.25">
      <c r="A608" s="7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7.25" customHeight="1" spans="1:25" x14ac:dyDescent="0.25">
      <c r="A609" s="7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7.25" customHeight="1" spans="1:25" x14ac:dyDescent="0.25">
      <c r="A610" s="7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7.25" customHeight="1" spans="1:25" x14ac:dyDescent="0.25">
      <c r="A611" s="7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7.25" customHeight="1" spans="1:25" x14ac:dyDescent="0.25">
      <c r="A612" s="7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7.25" customHeight="1" spans="1:25" x14ac:dyDescent="0.25">
      <c r="A613" s="7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7.25" customHeight="1" spans="1:25" x14ac:dyDescent="0.25">
      <c r="A614" s="7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7.25" customHeight="1" spans="1:25" x14ac:dyDescent="0.25">
      <c r="A615" s="7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7.25" customHeight="1" spans="1:25" x14ac:dyDescent="0.25">
      <c r="A616" s="7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7.25" customHeight="1" spans="1:25" x14ac:dyDescent="0.25">
      <c r="A617" s="7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7.25" customHeight="1" spans="1:25" x14ac:dyDescent="0.25">
      <c r="A618" s="7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7.25" customHeight="1" spans="1:25" x14ac:dyDescent="0.25">
      <c r="A619" s="7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7.25" customHeight="1" spans="1:25" x14ac:dyDescent="0.25">
      <c r="A620" s="7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7.25" customHeight="1" spans="1:25" x14ac:dyDescent="0.25">
      <c r="A621" s="7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7.25" customHeight="1" spans="1:25" x14ac:dyDescent="0.25">
      <c r="A622" s="7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7.25" customHeight="1" spans="1:25" x14ac:dyDescent="0.25">
      <c r="A623" s="7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7.25" customHeight="1" spans="1:25" x14ac:dyDescent="0.25">
      <c r="A624" s="7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7.25" customHeight="1" spans="1:25" x14ac:dyDescent="0.25">
      <c r="A625" s="7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7.25" customHeight="1" spans="1:25" x14ac:dyDescent="0.25">
      <c r="A626" s="7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7.25" customHeight="1" spans="1:25" x14ac:dyDescent="0.25">
      <c r="A627" s="7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7.25" customHeight="1" spans="1:25" x14ac:dyDescent="0.25">
      <c r="A628" s="7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7.25" customHeight="1" spans="1:25" x14ac:dyDescent="0.25">
      <c r="A629" s="7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7.25" customHeight="1" spans="1:25" x14ac:dyDescent="0.25">
      <c r="A630" s="7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7.25" customHeight="1" spans="1:25" x14ac:dyDescent="0.25">
      <c r="A631" s="7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7.25" customHeight="1" spans="1:25" x14ac:dyDescent="0.25">
      <c r="A632" s="7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7.25" customHeight="1" spans="1:25" x14ac:dyDescent="0.25">
      <c r="A633" s="7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7.25" customHeight="1" spans="1:25" x14ac:dyDescent="0.25">
      <c r="A634" s="7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7.25" customHeight="1" spans="1:25" x14ac:dyDescent="0.25">
      <c r="A635" s="7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7.25" customHeight="1" spans="1:25" x14ac:dyDescent="0.25">
      <c r="A636" s="7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7.25" customHeight="1" spans="1:25" x14ac:dyDescent="0.25">
      <c r="A637" s="7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7.25" customHeight="1" spans="1:25" x14ac:dyDescent="0.25">
      <c r="A638" s="7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7.25" customHeight="1" spans="1:25" x14ac:dyDescent="0.25">
      <c r="A639" s="7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7.25" customHeight="1" spans="1:25" x14ac:dyDescent="0.25">
      <c r="A640" s="7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7.25" customHeight="1" spans="1:25" x14ac:dyDescent="0.25">
      <c r="A641" s="7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7.25" customHeight="1" spans="1:25" x14ac:dyDescent="0.25">
      <c r="A642" s="7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7.25" customHeight="1" spans="1:25" x14ac:dyDescent="0.25">
      <c r="A643" s="7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7.25" customHeight="1" spans="1:25" x14ac:dyDescent="0.25">
      <c r="A644" s="7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7.25" customHeight="1" spans="1:25" x14ac:dyDescent="0.25">
      <c r="A645" s="7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7.25" customHeight="1" spans="1:25" x14ac:dyDescent="0.25">
      <c r="A646" s="7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7.25" customHeight="1" spans="1:25" x14ac:dyDescent="0.25">
      <c r="A647" s="7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7.25" customHeight="1" spans="1:25" x14ac:dyDescent="0.25">
      <c r="A648" s="7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7.25" customHeight="1" spans="1:25" x14ac:dyDescent="0.25">
      <c r="A649" s="7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7.25" customHeight="1" spans="1:25" x14ac:dyDescent="0.25">
      <c r="A650" s="7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7.25" customHeight="1" spans="1:25" x14ac:dyDescent="0.25">
      <c r="A651" s="7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7.25" customHeight="1" spans="1:25" x14ac:dyDescent="0.25">
      <c r="A652" s="7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7.25" customHeight="1" spans="1:25" x14ac:dyDescent="0.25">
      <c r="A653" s="7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7.25" customHeight="1" spans="1:25" x14ac:dyDescent="0.25">
      <c r="A654" s="7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7.25" customHeight="1" spans="1:25" x14ac:dyDescent="0.25">
      <c r="A655" s="7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7.25" customHeight="1" spans="1:25" x14ac:dyDescent="0.25">
      <c r="A656" s="7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7.25" customHeight="1" spans="1:25" x14ac:dyDescent="0.25">
      <c r="A657" s="7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7.25" customHeight="1" spans="1:25" x14ac:dyDescent="0.25">
      <c r="A658" s="7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7.25" customHeight="1" spans="1:25" x14ac:dyDescent="0.25">
      <c r="A659" s="7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7.25" customHeight="1" spans="1:25" x14ac:dyDescent="0.25">
      <c r="A660" s="7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7.25" customHeight="1" spans="1:25" x14ac:dyDescent="0.25">
      <c r="A661" s="7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7.25" customHeight="1" spans="1:25" x14ac:dyDescent="0.25">
      <c r="A662" s="7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7.25" customHeight="1" spans="1:25" x14ac:dyDescent="0.25">
      <c r="A663" s="7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7.25" customHeight="1" spans="1:25" x14ac:dyDescent="0.25">
      <c r="A664" s="7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7.25" customHeight="1" spans="1:25" x14ac:dyDescent="0.25">
      <c r="A665" s="7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7.25" customHeight="1" spans="1:25" x14ac:dyDescent="0.25">
      <c r="A666" s="7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7.25" customHeight="1" spans="1:25" x14ac:dyDescent="0.25">
      <c r="A667" s="7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7.25" customHeight="1" spans="1:25" x14ac:dyDescent="0.25">
      <c r="A668" s="7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7.25" customHeight="1" spans="1:25" x14ac:dyDescent="0.25">
      <c r="A669" s="7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7.25" customHeight="1" spans="1:25" x14ac:dyDescent="0.25">
      <c r="A670" s="7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7.25" customHeight="1" spans="1:25" x14ac:dyDescent="0.25">
      <c r="A671" s="7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7.25" customHeight="1" spans="1:25" x14ac:dyDescent="0.25">
      <c r="A672" s="7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7.25" customHeight="1" spans="1:25" x14ac:dyDescent="0.25">
      <c r="A673" s="7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7.25" customHeight="1" spans="1:25" x14ac:dyDescent="0.25">
      <c r="A674" s="7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7.25" customHeight="1" spans="1:25" x14ac:dyDescent="0.25">
      <c r="A675" s="7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7.25" customHeight="1" spans="1:25" x14ac:dyDescent="0.25">
      <c r="A676" s="7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7.25" customHeight="1" spans="1:25" x14ac:dyDescent="0.25">
      <c r="A677" s="7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7.25" customHeight="1" spans="1:25" x14ac:dyDescent="0.25">
      <c r="A678" s="7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7.25" customHeight="1" spans="1:25" x14ac:dyDescent="0.25">
      <c r="A679" s="7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7.25" customHeight="1" spans="1:25" x14ac:dyDescent="0.25">
      <c r="A680" s="7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7.25" customHeight="1" spans="1:25" x14ac:dyDescent="0.25">
      <c r="A681" s="7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7.25" customHeight="1" spans="1:25" x14ac:dyDescent="0.25">
      <c r="A682" s="7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7.25" customHeight="1" spans="1:25" x14ac:dyDescent="0.25">
      <c r="A683" s="7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7.25" customHeight="1" spans="1:25" x14ac:dyDescent="0.25">
      <c r="A684" s="7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7.25" customHeight="1" spans="1:25" x14ac:dyDescent="0.25">
      <c r="A685" s="7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7.25" customHeight="1" spans="1:25" x14ac:dyDescent="0.25">
      <c r="A686" s="7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7.25" customHeight="1" spans="1:25" x14ac:dyDescent="0.25">
      <c r="A687" s="7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7.25" customHeight="1" spans="1:25" x14ac:dyDescent="0.25">
      <c r="A688" s="7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7.25" customHeight="1" spans="1:25" x14ac:dyDescent="0.25">
      <c r="A689" s="7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7.25" customHeight="1" spans="1:25" x14ac:dyDescent="0.25">
      <c r="A690" s="7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7.25" customHeight="1" spans="1:25" x14ac:dyDescent="0.25">
      <c r="A691" s="7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7.25" customHeight="1" spans="1:25" x14ac:dyDescent="0.25">
      <c r="A692" s="7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7.25" customHeight="1" spans="1:25" x14ac:dyDescent="0.25">
      <c r="A693" s="7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7.25" customHeight="1" spans="1:25" x14ac:dyDescent="0.25">
      <c r="A694" s="7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7.25" customHeight="1" spans="1:25" x14ac:dyDescent="0.25">
      <c r="A695" s="7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7.25" customHeight="1" spans="1:25" x14ac:dyDescent="0.25">
      <c r="A696" s="7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7.25" customHeight="1" spans="1:25" x14ac:dyDescent="0.25">
      <c r="A697" s="7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7.25" customHeight="1" spans="1:25" x14ac:dyDescent="0.25">
      <c r="A698" s="7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7.25" customHeight="1" spans="1:25" x14ac:dyDescent="0.25">
      <c r="A699" s="7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7.25" customHeight="1" spans="1:25" x14ac:dyDescent="0.25">
      <c r="A700" s="7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7.25" customHeight="1" spans="1:25" x14ac:dyDescent="0.25">
      <c r="A701" s="7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7.25" customHeight="1" spans="1:25" x14ac:dyDescent="0.25">
      <c r="A702" s="7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7.25" customHeight="1" spans="1:25" x14ac:dyDescent="0.25">
      <c r="A703" s="7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7.25" customHeight="1" spans="1:25" x14ac:dyDescent="0.25">
      <c r="A704" s="7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7.25" customHeight="1" spans="1:25" x14ac:dyDescent="0.25">
      <c r="A705" s="7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7.25" customHeight="1" spans="1:25" x14ac:dyDescent="0.25">
      <c r="A706" s="7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7.25" customHeight="1" spans="1:25" x14ac:dyDescent="0.25">
      <c r="A707" s="7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7.25" customHeight="1" spans="1:25" x14ac:dyDescent="0.25">
      <c r="A708" s="7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7.25" customHeight="1" spans="1:25" x14ac:dyDescent="0.25">
      <c r="A709" s="7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7.25" customHeight="1" spans="1:25" x14ac:dyDescent="0.25">
      <c r="A710" s="7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7.25" customHeight="1" spans="1:25" x14ac:dyDescent="0.25">
      <c r="A711" s="7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7.25" customHeight="1" spans="1:25" x14ac:dyDescent="0.25">
      <c r="A712" s="7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7.25" customHeight="1" spans="1:25" x14ac:dyDescent="0.25">
      <c r="A713" s="7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7.25" customHeight="1" spans="1:25" x14ac:dyDescent="0.25">
      <c r="A714" s="7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7.25" customHeight="1" spans="1:25" x14ac:dyDescent="0.25">
      <c r="A715" s="7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7.25" customHeight="1" spans="1:25" x14ac:dyDescent="0.25">
      <c r="A716" s="7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7.25" customHeight="1" spans="1:25" x14ac:dyDescent="0.25">
      <c r="A717" s="7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7.25" customHeight="1" spans="1:25" x14ac:dyDescent="0.25">
      <c r="A718" s="7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7.25" customHeight="1" spans="1:25" x14ac:dyDescent="0.25">
      <c r="A719" s="7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7.25" customHeight="1" spans="1:25" x14ac:dyDescent="0.25">
      <c r="A720" s="7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7.25" customHeight="1" spans="1:25" x14ac:dyDescent="0.25">
      <c r="A721" s="7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7.25" customHeight="1" spans="1:25" x14ac:dyDescent="0.25">
      <c r="A722" s="7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7.25" customHeight="1" spans="1:25" x14ac:dyDescent="0.25">
      <c r="A723" s="7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7.25" customHeight="1" spans="1:25" x14ac:dyDescent="0.25">
      <c r="A724" s="7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7.25" customHeight="1" spans="1:25" x14ac:dyDescent="0.25">
      <c r="A725" s="7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7.25" customHeight="1" spans="1:25" x14ac:dyDescent="0.25">
      <c r="A726" s="7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7.25" customHeight="1" spans="1:25" x14ac:dyDescent="0.25">
      <c r="A727" s="7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7.25" customHeight="1" spans="1:25" x14ac:dyDescent="0.25">
      <c r="A728" s="7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7.25" customHeight="1" spans="1:25" x14ac:dyDescent="0.25">
      <c r="A729" s="7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7.25" customHeight="1" spans="1:25" x14ac:dyDescent="0.25">
      <c r="A730" s="7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7.25" customHeight="1" spans="1:25" x14ac:dyDescent="0.25">
      <c r="A731" s="7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7.25" customHeight="1" spans="1:25" x14ac:dyDescent="0.25">
      <c r="A732" s="7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7.25" customHeight="1" spans="1:25" x14ac:dyDescent="0.25">
      <c r="A733" s="7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7.25" customHeight="1" spans="1:25" x14ac:dyDescent="0.25">
      <c r="A734" s="7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7.25" customHeight="1" spans="1:25" x14ac:dyDescent="0.25">
      <c r="A735" s="7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7.25" customHeight="1" spans="1:25" x14ac:dyDescent="0.25">
      <c r="A736" s="7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7.25" customHeight="1" spans="1:25" x14ac:dyDescent="0.25">
      <c r="A737" s="7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7.25" customHeight="1" spans="1:25" x14ac:dyDescent="0.25">
      <c r="A738" s="7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7.25" customHeight="1" spans="1:25" x14ac:dyDescent="0.25">
      <c r="A739" s="7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7.25" customHeight="1" spans="1:25" x14ac:dyDescent="0.25">
      <c r="A740" s="7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7.25" customHeight="1" spans="1:25" x14ac:dyDescent="0.25">
      <c r="A741" s="7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7.25" customHeight="1" spans="1:25" x14ac:dyDescent="0.25">
      <c r="A742" s="7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7.25" customHeight="1" spans="1:25" x14ac:dyDescent="0.25">
      <c r="A743" s="7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7.25" customHeight="1" spans="1:25" x14ac:dyDescent="0.25">
      <c r="A744" s="7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7.25" customHeight="1" spans="1:25" x14ac:dyDescent="0.25">
      <c r="A745" s="7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7.25" customHeight="1" spans="1:25" x14ac:dyDescent="0.25">
      <c r="A746" s="7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7.25" customHeight="1" spans="1:25" x14ac:dyDescent="0.25">
      <c r="A747" s="7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7.25" customHeight="1" spans="1:25" x14ac:dyDescent="0.25">
      <c r="A748" s="7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7.25" customHeight="1" spans="1:25" x14ac:dyDescent="0.25">
      <c r="A749" s="7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7.25" customHeight="1" spans="1:25" x14ac:dyDescent="0.25">
      <c r="A750" s="7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7.25" customHeight="1" spans="1:25" x14ac:dyDescent="0.25">
      <c r="A751" s="7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7.25" customHeight="1" spans="1:25" x14ac:dyDescent="0.25">
      <c r="A752" s="7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7.25" customHeight="1" spans="1:25" x14ac:dyDescent="0.25">
      <c r="A753" s="7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7.25" customHeight="1" spans="1:25" x14ac:dyDescent="0.25">
      <c r="A754" s="7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7.25" customHeight="1" spans="1:25" x14ac:dyDescent="0.25">
      <c r="A755" s="7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7.25" customHeight="1" spans="1:25" x14ac:dyDescent="0.25">
      <c r="A756" s="7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7.25" customHeight="1" spans="1:25" x14ac:dyDescent="0.25">
      <c r="A757" s="7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7.25" customHeight="1" spans="1:25" x14ac:dyDescent="0.25">
      <c r="A758" s="7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7.25" customHeight="1" spans="1:25" x14ac:dyDescent="0.25">
      <c r="A759" s="7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7.25" customHeight="1" spans="1:25" x14ac:dyDescent="0.25">
      <c r="A760" s="7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7.25" customHeight="1" spans="1:25" x14ac:dyDescent="0.25">
      <c r="A761" s="7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7.25" customHeight="1" spans="1:25" x14ac:dyDescent="0.25">
      <c r="A762" s="7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7.25" customHeight="1" spans="1:25" x14ac:dyDescent="0.25">
      <c r="A763" s="7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7.25" customHeight="1" spans="1:25" x14ac:dyDescent="0.25">
      <c r="A764" s="7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7.25" customHeight="1" spans="1:25" x14ac:dyDescent="0.25">
      <c r="A765" s="7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7.25" customHeight="1" spans="1:25" x14ac:dyDescent="0.25">
      <c r="A766" s="7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7.25" customHeight="1" spans="1:25" x14ac:dyDescent="0.25">
      <c r="A767" s="7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7.25" customHeight="1" spans="1:25" x14ac:dyDescent="0.25">
      <c r="A768" s="7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7.25" customHeight="1" spans="1:25" x14ac:dyDescent="0.25">
      <c r="A769" s="7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7.25" customHeight="1" spans="1:25" x14ac:dyDescent="0.25">
      <c r="A770" s="7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7.25" customHeight="1" spans="1:25" x14ac:dyDescent="0.25">
      <c r="A771" s="7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7.25" customHeight="1" spans="1:25" x14ac:dyDescent="0.25">
      <c r="A772" s="7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7.25" customHeight="1" spans="1:25" x14ac:dyDescent="0.25">
      <c r="A773" s="7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7.25" customHeight="1" spans="1:25" x14ac:dyDescent="0.25">
      <c r="A774" s="7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7.25" customHeight="1" spans="1:25" x14ac:dyDescent="0.25">
      <c r="A775" s="7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7.25" customHeight="1" spans="1:25" x14ac:dyDescent="0.25">
      <c r="A776" s="7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7.25" customHeight="1" spans="1:25" x14ac:dyDescent="0.25">
      <c r="A777" s="7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7.25" customHeight="1" spans="1:25" x14ac:dyDescent="0.25">
      <c r="A778" s="7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7.25" customHeight="1" spans="1:25" x14ac:dyDescent="0.25">
      <c r="A779" s="7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7.25" customHeight="1" spans="1:25" x14ac:dyDescent="0.25">
      <c r="A780" s="7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7.25" customHeight="1" spans="1:25" x14ac:dyDescent="0.25">
      <c r="A781" s="7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7.25" customHeight="1" spans="1:25" x14ac:dyDescent="0.25">
      <c r="A782" s="7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7.25" customHeight="1" spans="1:25" x14ac:dyDescent="0.25">
      <c r="A783" s="7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7.25" customHeight="1" spans="1:25" x14ac:dyDescent="0.25">
      <c r="A784" s="7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7.25" customHeight="1" spans="1:25" x14ac:dyDescent="0.25">
      <c r="A785" s="7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7.25" customHeight="1" spans="1:25" x14ac:dyDescent="0.25">
      <c r="A786" s="7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7.25" customHeight="1" spans="1:25" x14ac:dyDescent="0.25">
      <c r="A787" s="7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7.25" customHeight="1" spans="1:25" x14ac:dyDescent="0.25">
      <c r="A788" s="7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7.25" customHeight="1" spans="1:25" x14ac:dyDescent="0.25">
      <c r="A789" s="7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7.25" customHeight="1" spans="1:25" x14ac:dyDescent="0.25">
      <c r="A790" s="7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7.25" customHeight="1" spans="1:25" x14ac:dyDescent="0.25">
      <c r="A791" s="7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7.25" customHeight="1" spans="1:25" x14ac:dyDescent="0.25">
      <c r="A792" s="7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7.25" customHeight="1" spans="1:25" x14ac:dyDescent="0.25">
      <c r="A793" s="7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7.25" customHeight="1" spans="1:25" x14ac:dyDescent="0.25">
      <c r="A794" s="7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7.25" customHeight="1" spans="1:25" x14ac:dyDescent="0.25">
      <c r="A795" s="7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7.25" customHeight="1" spans="1:25" x14ac:dyDescent="0.25">
      <c r="A796" s="7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7.25" customHeight="1" spans="1:25" x14ac:dyDescent="0.25">
      <c r="A797" s="7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7.25" customHeight="1" spans="1:25" x14ac:dyDescent="0.25">
      <c r="A798" s="7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7.25" customHeight="1" spans="1:25" x14ac:dyDescent="0.25">
      <c r="A799" s="7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7.25" customHeight="1" spans="1:25" x14ac:dyDescent="0.25">
      <c r="A800" s="7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7.25" customHeight="1" spans="1:25" x14ac:dyDescent="0.25">
      <c r="A801" s="7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7.25" customHeight="1" spans="1:25" x14ac:dyDescent="0.25">
      <c r="A802" s="7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7.25" customHeight="1" spans="1:25" x14ac:dyDescent="0.25">
      <c r="A803" s="7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7.25" customHeight="1" spans="1:25" x14ac:dyDescent="0.25">
      <c r="A804" s="7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7.25" customHeight="1" spans="1:25" x14ac:dyDescent="0.25">
      <c r="A805" s="7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7.25" customHeight="1" spans="1:25" x14ac:dyDescent="0.25">
      <c r="A806" s="7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7.25" customHeight="1" spans="1:25" x14ac:dyDescent="0.25">
      <c r="A807" s="7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7.25" customHeight="1" spans="1:25" x14ac:dyDescent="0.25">
      <c r="A808" s="7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7.25" customHeight="1" spans="1:25" x14ac:dyDescent="0.25">
      <c r="A809" s="7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7.25" customHeight="1" spans="1:25" x14ac:dyDescent="0.25">
      <c r="A810" s="7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7.25" customHeight="1" spans="1:25" x14ac:dyDescent="0.25">
      <c r="A811" s="7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7.25" customHeight="1" spans="1:25" x14ac:dyDescent="0.25">
      <c r="A812" s="7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7.25" customHeight="1" spans="1:25" x14ac:dyDescent="0.25">
      <c r="A813" s="7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7.25" customHeight="1" spans="1:25" x14ac:dyDescent="0.25">
      <c r="A814" s="7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7.25" customHeight="1" spans="1:25" x14ac:dyDescent="0.25">
      <c r="A815" s="7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7.25" customHeight="1" spans="1:25" x14ac:dyDescent="0.25">
      <c r="A816" s="7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7.25" customHeight="1" spans="1:25" x14ac:dyDescent="0.25">
      <c r="A817" s="7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7.25" customHeight="1" spans="1:25" x14ac:dyDescent="0.25">
      <c r="A818" s="7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7.25" customHeight="1" spans="1:25" x14ac:dyDescent="0.25">
      <c r="A819" s="7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7.25" customHeight="1" spans="1:25" x14ac:dyDescent="0.25">
      <c r="A820" s="7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7.25" customHeight="1" spans="1:25" x14ac:dyDescent="0.25">
      <c r="A821" s="7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7.25" customHeight="1" spans="1:25" x14ac:dyDescent="0.25">
      <c r="A822" s="7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7.25" customHeight="1" spans="1:25" x14ac:dyDescent="0.25">
      <c r="A823" s="7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7.25" customHeight="1" spans="1:25" x14ac:dyDescent="0.25">
      <c r="A824" s="7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7.25" customHeight="1" spans="1:25" x14ac:dyDescent="0.25">
      <c r="A825" s="7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7.25" customHeight="1" spans="1:25" x14ac:dyDescent="0.25">
      <c r="A826" s="7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7.25" customHeight="1" spans="1:25" x14ac:dyDescent="0.25">
      <c r="A827" s="7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7.25" customHeight="1" spans="1:25" x14ac:dyDescent="0.25">
      <c r="A828" s="7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7.25" customHeight="1" spans="1:25" x14ac:dyDescent="0.25">
      <c r="A829" s="7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7.25" customHeight="1" spans="1:25" x14ac:dyDescent="0.25">
      <c r="A830" s="7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7.25" customHeight="1" spans="1:25" x14ac:dyDescent="0.25">
      <c r="A831" s="7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7.25" customHeight="1" spans="1:25" x14ac:dyDescent="0.25">
      <c r="A832" s="7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7.25" customHeight="1" spans="1:25" x14ac:dyDescent="0.25">
      <c r="A833" s="7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7.25" customHeight="1" spans="1:25" x14ac:dyDescent="0.25">
      <c r="A834" s="7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7.25" customHeight="1" spans="1:25" x14ac:dyDescent="0.25">
      <c r="A835" s="7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7.25" customHeight="1" spans="1:25" x14ac:dyDescent="0.25">
      <c r="A836" s="7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7.25" customHeight="1" spans="1:25" x14ac:dyDescent="0.25">
      <c r="A837" s="7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7.25" customHeight="1" spans="1:25" x14ac:dyDescent="0.25">
      <c r="A838" s="7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7.25" customHeight="1" spans="1:25" x14ac:dyDescent="0.25">
      <c r="A839" s="7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7.25" customHeight="1" spans="1:25" x14ac:dyDescent="0.25">
      <c r="A840" s="7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7.25" customHeight="1" spans="1:25" x14ac:dyDescent="0.25">
      <c r="A841" s="7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7.25" customHeight="1" spans="1:25" x14ac:dyDescent="0.25">
      <c r="A842" s="7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7.25" customHeight="1" spans="1:25" x14ac:dyDescent="0.25">
      <c r="A843" s="7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7.25" customHeight="1" spans="1:25" x14ac:dyDescent="0.25">
      <c r="A844" s="7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7.25" customHeight="1" spans="1:25" x14ac:dyDescent="0.25">
      <c r="A845" s="7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7.25" customHeight="1" spans="1:25" x14ac:dyDescent="0.25">
      <c r="A846" s="7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7.25" customHeight="1" spans="1:25" x14ac:dyDescent="0.25">
      <c r="A847" s="7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7.25" customHeight="1" spans="1:25" x14ac:dyDescent="0.25">
      <c r="A848" s="7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7.25" customHeight="1" spans="1:25" x14ac:dyDescent="0.25">
      <c r="A849" s="7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7.25" customHeight="1" spans="1:25" x14ac:dyDescent="0.25">
      <c r="A850" s="7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7.25" customHeight="1" spans="1:25" x14ac:dyDescent="0.25">
      <c r="A851" s="7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7.25" customHeight="1" spans="1:25" x14ac:dyDescent="0.25">
      <c r="A852" s="7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7.25" customHeight="1" spans="1:25" x14ac:dyDescent="0.25">
      <c r="A853" s="7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7.25" customHeight="1" spans="1:25" x14ac:dyDescent="0.25">
      <c r="A854" s="7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7.25" customHeight="1" spans="1:25" x14ac:dyDescent="0.25">
      <c r="A855" s="7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7.25" customHeight="1" spans="1:25" x14ac:dyDescent="0.25">
      <c r="A856" s="7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7.25" customHeight="1" spans="1:25" x14ac:dyDescent="0.25">
      <c r="A857" s="7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7.25" customHeight="1" spans="1:25" x14ac:dyDescent="0.25">
      <c r="A858" s="7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7.25" customHeight="1" spans="1:25" x14ac:dyDescent="0.25">
      <c r="A859" s="7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7.25" customHeight="1" spans="1:25" x14ac:dyDescent="0.25">
      <c r="A860" s="7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7.25" customHeight="1" spans="1:25" x14ac:dyDescent="0.25">
      <c r="A861" s="7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7.25" customHeight="1" spans="1:25" x14ac:dyDescent="0.25">
      <c r="A862" s="7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7.25" customHeight="1" spans="1:25" x14ac:dyDescent="0.25">
      <c r="A863" s="7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7.25" customHeight="1" spans="1:25" x14ac:dyDescent="0.25">
      <c r="A864" s="7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7.25" customHeight="1" spans="1:25" x14ac:dyDescent="0.25">
      <c r="A865" s="7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7.25" customHeight="1" spans="1:25" x14ac:dyDescent="0.25">
      <c r="A866" s="7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7.25" customHeight="1" spans="1:25" x14ac:dyDescent="0.25">
      <c r="A867" s="7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7.25" customHeight="1" spans="1:25" x14ac:dyDescent="0.25">
      <c r="A868" s="7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7.25" customHeight="1" spans="1:25" x14ac:dyDescent="0.25">
      <c r="A869" s="7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7.25" customHeight="1" spans="1:25" x14ac:dyDescent="0.25">
      <c r="A870" s="7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7.25" customHeight="1" spans="1:25" x14ac:dyDescent="0.25">
      <c r="A871" s="7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7.25" customHeight="1" spans="1:25" x14ac:dyDescent="0.25">
      <c r="A872" s="7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7.25" customHeight="1" spans="1:25" x14ac:dyDescent="0.25">
      <c r="A873" s="7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7.25" customHeight="1" spans="1:25" x14ac:dyDescent="0.25">
      <c r="A874" s="7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7.25" customHeight="1" spans="1:25" x14ac:dyDescent="0.25">
      <c r="A875" s="7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7.25" customHeight="1" spans="1:25" x14ac:dyDescent="0.25">
      <c r="A876" s="7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7.25" customHeight="1" spans="1:25" x14ac:dyDescent="0.25">
      <c r="A877" s="7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7.25" customHeight="1" spans="1:25" x14ac:dyDescent="0.25">
      <c r="A878" s="7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7.25" customHeight="1" spans="1:25" x14ac:dyDescent="0.25">
      <c r="A879" s="7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7.25" customHeight="1" spans="1:25" x14ac:dyDescent="0.25">
      <c r="A880" s="7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7.25" customHeight="1" spans="1:25" x14ac:dyDescent="0.25">
      <c r="A881" s="7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7.25" customHeight="1" spans="1:25" x14ac:dyDescent="0.25">
      <c r="A882" s="7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7.25" customHeight="1" spans="1:25" x14ac:dyDescent="0.25">
      <c r="A883" s="7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7.25" customHeight="1" spans="1:25" x14ac:dyDescent="0.25">
      <c r="A884" s="7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7.25" customHeight="1" spans="1:25" x14ac:dyDescent="0.25">
      <c r="A885" s="7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7.25" customHeight="1" spans="1:25" x14ac:dyDescent="0.25">
      <c r="A886" s="7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7.25" customHeight="1" spans="1:25" x14ac:dyDescent="0.25">
      <c r="A887" s="7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7.25" customHeight="1" spans="1:25" x14ac:dyDescent="0.25">
      <c r="A888" s="7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7.25" customHeight="1" spans="1:25" x14ac:dyDescent="0.25">
      <c r="A889" s="7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7.25" customHeight="1" spans="1:25" x14ac:dyDescent="0.25">
      <c r="A890" s="7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7.25" customHeight="1" spans="1:25" x14ac:dyDescent="0.25">
      <c r="A891" s="7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7.25" customHeight="1" spans="1:25" x14ac:dyDescent="0.25">
      <c r="A892" s="7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7.25" customHeight="1" spans="1:25" x14ac:dyDescent="0.25">
      <c r="A893" s="7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7.25" customHeight="1" spans="1:25" x14ac:dyDescent="0.25">
      <c r="A894" s="7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7.25" customHeight="1" spans="1:25" x14ac:dyDescent="0.25">
      <c r="A895" s="7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7.25" customHeight="1" spans="1:25" x14ac:dyDescent="0.25">
      <c r="A896" s="7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7.25" customHeight="1" spans="1:25" x14ac:dyDescent="0.25">
      <c r="A897" s="7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7.25" customHeight="1" spans="1:25" x14ac:dyDescent="0.25">
      <c r="A898" s="7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7.25" customHeight="1" spans="1:25" x14ac:dyDescent="0.25">
      <c r="A899" s="7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7.25" customHeight="1" spans="1:25" x14ac:dyDescent="0.25">
      <c r="A900" s="7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7.25" customHeight="1" spans="1:25" x14ac:dyDescent="0.25">
      <c r="A901" s="7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7.25" customHeight="1" spans="1:25" x14ac:dyDescent="0.25">
      <c r="A902" s="7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7.25" customHeight="1" spans="1:25" x14ac:dyDescent="0.25">
      <c r="A903" s="7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7.25" customHeight="1" spans="1:25" x14ac:dyDescent="0.25">
      <c r="A904" s="7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7.25" customHeight="1" spans="1:25" x14ac:dyDescent="0.25">
      <c r="A905" s="7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7.25" customHeight="1" spans="1:25" x14ac:dyDescent="0.25">
      <c r="A906" s="7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7.25" customHeight="1" spans="1:25" x14ac:dyDescent="0.25">
      <c r="A907" s="7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7.25" customHeight="1" spans="1:25" x14ac:dyDescent="0.25">
      <c r="A908" s="7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7.25" customHeight="1" spans="1:25" x14ac:dyDescent="0.25">
      <c r="A909" s="7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7.25" customHeight="1" spans="1:25" x14ac:dyDescent="0.25">
      <c r="A910" s="7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7.25" customHeight="1" spans="1:25" x14ac:dyDescent="0.25">
      <c r="A911" s="7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7.25" customHeight="1" spans="1:25" x14ac:dyDescent="0.25">
      <c r="A912" s="7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7.25" customHeight="1" spans="1:25" x14ac:dyDescent="0.25">
      <c r="A913" s="7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7.25" customHeight="1" spans="1:25" x14ac:dyDescent="0.25">
      <c r="A914" s="7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7.25" customHeight="1" spans="1:25" x14ac:dyDescent="0.25">
      <c r="A915" s="7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7.25" customHeight="1" spans="1:25" x14ac:dyDescent="0.25">
      <c r="A916" s="7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7.25" customHeight="1" spans="1:25" x14ac:dyDescent="0.25">
      <c r="A917" s="7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7.25" customHeight="1" spans="1:25" x14ac:dyDescent="0.25">
      <c r="A918" s="7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7.25" customHeight="1" spans="1:25" x14ac:dyDescent="0.25">
      <c r="A919" s="7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7.25" customHeight="1" spans="1:25" x14ac:dyDescent="0.25">
      <c r="A920" s="7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7.25" customHeight="1" spans="1:25" x14ac:dyDescent="0.25">
      <c r="A921" s="7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7.25" customHeight="1" spans="1:25" x14ac:dyDescent="0.25">
      <c r="A922" s="7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7.25" customHeight="1" spans="1:25" x14ac:dyDescent="0.25">
      <c r="A923" s="7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7.25" customHeight="1" spans="1:25" x14ac:dyDescent="0.25">
      <c r="A924" s="7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7.25" customHeight="1" spans="1:25" x14ac:dyDescent="0.25">
      <c r="A925" s="7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7.25" customHeight="1" spans="1:25" x14ac:dyDescent="0.25">
      <c r="A926" s="7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7.25" customHeight="1" spans="1:25" x14ac:dyDescent="0.25">
      <c r="A927" s="7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7.25" customHeight="1" spans="1:25" x14ac:dyDescent="0.25">
      <c r="A928" s="7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7.25" customHeight="1" spans="1:25" x14ac:dyDescent="0.25">
      <c r="A929" s="7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7.25" customHeight="1" spans="1:25" x14ac:dyDescent="0.25">
      <c r="A930" s="7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7.25" customHeight="1" spans="1:25" x14ac:dyDescent="0.25">
      <c r="A931" s="7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7.25" customHeight="1" spans="1:25" x14ac:dyDescent="0.25">
      <c r="A932" s="7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7.25" customHeight="1" spans="1:25" x14ac:dyDescent="0.25">
      <c r="A933" s="7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7.25" customHeight="1" spans="1:25" x14ac:dyDescent="0.25">
      <c r="A934" s="7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7.25" customHeight="1" spans="1:25" x14ac:dyDescent="0.25">
      <c r="A935" s="7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7.25" customHeight="1" spans="1:25" x14ac:dyDescent="0.25">
      <c r="A936" s="7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7.25" customHeight="1" spans="1:25" x14ac:dyDescent="0.25">
      <c r="A937" s="7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7.25" customHeight="1" spans="1:25" x14ac:dyDescent="0.25">
      <c r="A938" s="7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7.25" customHeight="1" spans="1:25" x14ac:dyDescent="0.25">
      <c r="A939" s="7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7.25" customHeight="1" spans="1:25" x14ac:dyDescent="0.25">
      <c r="A940" s="7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7.25" customHeight="1" spans="1:25" x14ac:dyDescent="0.25">
      <c r="A941" s="7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7.25" customHeight="1" spans="1:25" x14ac:dyDescent="0.25">
      <c r="A942" s="7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7.25" customHeight="1" spans="1:25" x14ac:dyDescent="0.25">
      <c r="A943" s="7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7.25" customHeight="1" spans="1:25" x14ac:dyDescent="0.25">
      <c r="A944" s="7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7.25" customHeight="1" spans="1:25" x14ac:dyDescent="0.25">
      <c r="A945" s="7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7.25" customHeight="1" spans="1:25" x14ac:dyDescent="0.25">
      <c r="A946" s="7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7.25" customHeight="1" spans="1:25" x14ac:dyDescent="0.25">
      <c r="A947" s="7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7.25" customHeight="1" spans="1:25" x14ac:dyDescent="0.25">
      <c r="A948" s="7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7.25" customHeight="1" spans="1:25" x14ac:dyDescent="0.25">
      <c r="A949" s="7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7.25" customHeight="1" spans="1:25" x14ac:dyDescent="0.25">
      <c r="A950" s="7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7.25" customHeight="1" spans="1:25" x14ac:dyDescent="0.25">
      <c r="A951" s="7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7.25" customHeight="1" spans="1:25" x14ac:dyDescent="0.25">
      <c r="A952" s="7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7.25" customHeight="1" spans="1:25" x14ac:dyDescent="0.25">
      <c r="A953" s="7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7.25" customHeight="1" spans="1:25" x14ac:dyDescent="0.25">
      <c r="A954" s="7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7.25" customHeight="1" spans="1:25" x14ac:dyDescent="0.25">
      <c r="A955" s="7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7.25" customHeight="1" spans="1:25" x14ac:dyDescent="0.25">
      <c r="A956" s="7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7.25" customHeight="1" spans="1:25" x14ac:dyDescent="0.25">
      <c r="A957" s="7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7.25" customHeight="1" spans="1:25" x14ac:dyDescent="0.25">
      <c r="A958" s="7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7.25" customHeight="1" spans="1:25" x14ac:dyDescent="0.25">
      <c r="A959" s="7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7.25" customHeight="1" spans="1:25" x14ac:dyDescent="0.25">
      <c r="A960" s="7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7.25" customHeight="1" spans="1:25" x14ac:dyDescent="0.25">
      <c r="A961" s="7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7.25" customHeight="1" spans="1:25" x14ac:dyDescent="0.25">
      <c r="A962" s="7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7.25" customHeight="1" spans="1:25" x14ac:dyDescent="0.25">
      <c r="A963" s="7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7.25" customHeight="1" spans="1:25" x14ac:dyDescent="0.25">
      <c r="A964" s="7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7.25" customHeight="1" spans="1:25" x14ac:dyDescent="0.25">
      <c r="A965" s="7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7.25" customHeight="1" spans="1:25" x14ac:dyDescent="0.25">
      <c r="A966" s="7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7.25" customHeight="1" spans="1:25" x14ac:dyDescent="0.25">
      <c r="A967" s="7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7.25" customHeight="1" spans="1:25" x14ac:dyDescent="0.25">
      <c r="A968" s="7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7.25" customHeight="1" spans="1:25" x14ac:dyDescent="0.25">
      <c r="A969" s="7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7.25" customHeight="1" spans="1:25" x14ac:dyDescent="0.25">
      <c r="A970" s="7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7.25" customHeight="1" spans="1:25" x14ac:dyDescent="0.25">
      <c r="A971" s="7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7.25" customHeight="1" spans="1:25" x14ac:dyDescent="0.25">
      <c r="A972" s="7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7.25" customHeight="1" spans="1:25" x14ac:dyDescent="0.25">
      <c r="A973" s="7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7.25" customHeight="1" spans="1:25" x14ac:dyDescent="0.25">
      <c r="A974" s="7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7.25" customHeight="1" spans="1:25" x14ac:dyDescent="0.25">
      <c r="A975" s="7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7.25" customHeight="1" spans="1:25" x14ac:dyDescent="0.25">
      <c r="A976" s="7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7.25" customHeight="1" spans="1:25" x14ac:dyDescent="0.25">
      <c r="A977" s="7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7.25" customHeight="1" spans="1:25" x14ac:dyDescent="0.25">
      <c r="A978" s="7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7.25" customHeight="1" spans="1:25" x14ac:dyDescent="0.25">
      <c r="A979" s="7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7.25" customHeight="1" spans="1:25" x14ac:dyDescent="0.25">
      <c r="A980" s="7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7.25" customHeight="1" spans="1:25" x14ac:dyDescent="0.25">
      <c r="A981" s="7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7.25" customHeight="1" spans="1:25" x14ac:dyDescent="0.25">
      <c r="A982" s="7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7.25" customHeight="1" spans="1:25" x14ac:dyDescent="0.25">
      <c r="A983" s="7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7.25" customHeight="1" spans="1:25" x14ac:dyDescent="0.25">
      <c r="A984" s="7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7.25" customHeight="1" spans="1:25" x14ac:dyDescent="0.25">
      <c r="A985" s="7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7.25" customHeight="1" spans="1:25" x14ac:dyDescent="0.25">
      <c r="A986" s="7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7.25" customHeight="1" spans="1:25" x14ac:dyDescent="0.25">
      <c r="A987" s="7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7.25" customHeight="1" spans="1:25" x14ac:dyDescent="0.25">
      <c r="A988" s="7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7.25" customHeight="1" spans="1:25" x14ac:dyDescent="0.25">
      <c r="A989" s="7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7.25" customHeight="1" spans="1:25" x14ac:dyDescent="0.25">
      <c r="A990" s="7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7.25" customHeight="1" spans="1:25" x14ac:dyDescent="0.25">
      <c r="A991" s="7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7.25" customHeight="1" spans="1:25" x14ac:dyDescent="0.25">
      <c r="A992" s="7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7.25" customHeight="1" spans="1:25" x14ac:dyDescent="0.25">
      <c r="A993" s="7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7.25" customHeight="1" spans="1:25" x14ac:dyDescent="0.25">
      <c r="A994" s="7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7.25" customHeight="1" spans="1:25" x14ac:dyDescent="0.25">
      <c r="A995" s="7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7.25" customHeight="1" spans="1:25" x14ac:dyDescent="0.25">
      <c r="A996" s="7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7.25" customHeight="1" spans="1:25" x14ac:dyDescent="0.25">
      <c r="A997" s="7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7.25" customHeight="1" spans="1:25" x14ac:dyDescent="0.25">
      <c r="A998" s="7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7.25" customHeight="1" spans="1:25" x14ac:dyDescent="0.25">
      <c r="A999" s="7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7.25" customHeight="1" spans="1:25" x14ac:dyDescent="0.25">
      <c r="A1000" s="7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3">
    <mergeCell ref="A1:D1"/>
    <mergeCell ref="A16:D16"/>
    <mergeCell ref="A34:D34"/>
  </mergeCells>
  <dataValidations count="10">
    <dataValidation type="list" allowBlank="1" showErrorMessage="1" sqref="C18">
      <formula1>$G$21:$G$42</formula1>
    </dataValidation>
    <dataValidation type="list" allowBlank="1" showErrorMessage="1" sqref="C21">
      <formula1>$G$44:$G$46</formula1>
    </dataValidation>
    <dataValidation type="list" allowBlank="1" showErrorMessage="1" sqref="C24">
      <formula1>$G$44:$G$46</formula1>
    </dataValidation>
    <dataValidation type="list" allowBlank="1" showErrorMessage="1" sqref="C26">
      <formula1>$G$48:$G$52</formula1>
    </dataValidation>
    <dataValidation type="list" allowBlank="1" showErrorMessage="1" sqref="C27">
      <formula1>$G$21:$G$41</formula1>
    </dataValidation>
    <dataValidation type="list" allowBlank="1" showErrorMessage="1" sqref="C30">
      <formula1>$G$48:$G$52</formula1>
    </dataValidation>
    <dataValidation type="list" allowBlank="1" showErrorMessage="1" sqref="C31">
      <formula1>$G$21:$G$41</formula1>
    </dataValidation>
    <dataValidation type="list" allowBlank="1" showErrorMessage="1" sqref="C39">
      <formula1>$F$25:$F$26</formula1>
    </dataValidation>
    <dataValidation type="list" allowBlank="1" showErrorMessage="1" sqref="C7">
      <formula1>$G$4:$G$18</formula1>
    </dataValidation>
    <dataValidation type="list" allowBlank="1" showErrorMessage="1" sqref="D8">
      <formula1>$G$4:$G$9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1"/>
  <sheetViews>
    <sheetView workbookViewId="0" showGridLines="0" zoomScale="100" zoomScaleNormal="100"/>
  </sheetViews>
  <sheetFormatPr defaultRowHeight="15" outlineLevelRow="0" outlineLevelCol="0" x14ac:dyDescent="0" defaultColWidth="14.44140625"/>
  <cols>
    <col min="1" max="1" width="8" customWidth="1"/>
    <col min="2" max="2" width="73.6640625" customWidth="1"/>
    <col min="3" max="4" width="6.6640625" customWidth="1"/>
    <col min="5" max="5" width="11.6640625" customWidth="1"/>
    <col min="6" max="6" width="21.44140625" customWidth="1"/>
    <col min="7" max="7" width="10.44140625" customWidth="1"/>
  </cols>
  <sheetData>
    <row r="1" ht="30" customHeight="1" spans="1:26" x14ac:dyDescent="0.25">
      <c r="A1" s="75" t="s">
        <v>82</v>
      </c>
      <c r="B1" s="76"/>
      <c r="C1" s="76"/>
      <c r="D1" s="76"/>
      <c r="E1" s="76"/>
      <c r="F1" s="76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30" customHeight="1" spans="1:26" x14ac:dyDescent="0.25">
      <c r="A2" s="78"/>
      <c r="B2" s="76"/>
      <c r="C2" s="76"/>
      <c r="D2" s="76"/>
      <c r="E2" s="76"/>
      <c r="F2" s="76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8" customHeight="1" spans="1:26" x14ac:dyDescent="0.25">
      <c r="A3" s="75"/>
      <c r="B3" s="75"/>
      <c r="C3" s="77" t="s">
        <v>83</v>
      </c>
      <c r="D3" s="79">
        <f>設定情報!C3</f>
        <v>45793</v>
      </c>
      <c r="E3" s="76"/>
      <c r="F3" s="76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8" customHeight="1" spans="1:26" x14ac:dyDescent="0.25">
      <c r="A4" s="77"/>
      <c r="B4" s="77"/>
      <c r="C4" s="77" t="s">
        <v>84</v>
      </c>
      <c r="D4" s="80" t="str">
        <f>"Quotation No: "&amp;設定情報!C13&amp;"-"&amp;設定情報!C14</f>
        <v>Quotation No: S-25-00398-001</v>
      </c>
      <c r="E4" s="76"/>
      <c r="F4" s="76"/>
      <c r="G4" s="80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8" customHeight="1" spans="1:26" x14ac:dyDescent="0.25">
      <c r="A5" s="77"/>
      <c r="B5" s="77"/>
      <c r="C5" s="81" t="s">
        <v>85</v>
      </c>
      <c r="D5" s="81"/>
      <c r="E5" s="81"/>
      <c r="F5" s="81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28.5" customHeight="1" spans="1:26" x14ac:dyDescent="0.25">
      <c r="A6" s="82" t="str">
        <f>設定情報!C4&amp;"  "</f>
        <v>To: PT KDDI Indonesia  </v>
      </c>
      <c r="B6" s="76"/>
      <c r="C6" s="77"/>
      <c r="D6" s="77"/>
      <c r="E6" s="77"/>
      <c r="F6" s="83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26.4" customHeight="1" spans="1:26" x14ac:dyDescent="0.25">
      <c r="A7" s="84"/>
      <c r="B7" s="85"/>
      <c r="C7" s="77"/>
      <c r="D7" s="77"/>
      <c r="E7" s="77"/>
      <c r="F7" s="83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26.4" customHeight="1" spans="1:26" x14ac:dyDescent="0.25">
      <c r="A8" s="84"/>
      <c r="B8" s="85"/>
      <c r="C8" s="77"/>
      <c r="D8" s="77"/>
      <c r="E8" s="77"/>
      <c r="F8" s="86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26.4" customHeight="1" spans="1:26" x14ac:dyDescent="0.25">
      <c r="A9" s="84"/>
      <c r="B9" s="85"/>
      <c r="C9" s="77"/>
      <c r="D9" s="77"/>
      <c r="E9" s="77"/>
      <c r="F9" s="8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7.25" customHeight="1" spans="1:26" x14ac:dyDescent="0.25">
      <c r="A10" s="88"/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7.25" customHeight="1" spans="1:26" x14ac:dyDescent="0.25">
      <c r="A11" s="78" t="s">
        <v>86</v>
      </c>
      <c r="B11" s="76"/>
      <c r="C11" s="76"/>
      <c r="D11" s="76"/>
      <c r="E11" s="76"/>
      <c r="F11" s="76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7.25" customHeight="1" spans="1:26" x14ac:dyDescent="0.25">
      <c r="A12" s="76"/>
      <c r="B12" s="76"/>
      <c r="C12" s="76"/>
      <c r="D12" s="76"/>
      <c r="E12" s="76"/>
      <c r="F12" s="76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7.25" customHeight="1" spans="1:26" x14ac:dyDescent="0.25">
      <c r="A13" s="76"/>
      <c r="B13" s="76"/>
      <c r="C13" s="76"/>
      <c r="D13" s="76"/>
      <c r="E13" s="76"/>
      <c r="F13" s="76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23.25" customHeight="1" spans="1:26" x14ac:dyDescent="0.25">
      <c r="A14" s="89" t="str">
        <f>設定情報!C5</f>
        <v>For:PT Minda ASEAN Automotive</v>
      </c>
      <c r="B14" s="76"/>
      <c r="C14" s="76"/>
      <c r="D14" s="76"/>
      <c r="E14" s="76"/>
      <c r="F14" s="76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23.25" customHeight="1" spans="1:26" x14ac:dyDescent="0.25">
      <c r="A15" s="90" t="str">
        <f>設定情報!C6</f>
        <v>　</v>
      </c>
      <c r="B15" s="76"/>
      <c r="C15" s="76"/>
      <c r="D15" s="76"/>
      <c r="E15" s="76"/>
      <c r="F15" s="76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24.75" customHeight="1" spans="1:26" x14ac:dyDescent="0.25">
      <c r="A16" s="91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5.75" customHeight="1" spans="1:26" x14ac:dyDescent="0.2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25.5" customHeight="1" spans="1:26" x14ac:dyDescent="0.25">
      <c r="A18" s="92" t="s">
        <v>87</v>
      </c>
      <c r="B18" s="93" t="s">
        <v>88</v>
      </c>
      <c r="C18" s="94">
        <v>10</v>
      </c>
      <c r="D18" s="95"/>
      <c r="E18" s="96"/>
      <c r="F18" s="97" t="s">
        <v>89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ht="27" customHeight="1" spans="1:26" x14ac:dyDescent="0.25">
      <c r="A19" s="99" t="s">
        <v>90</v>
      </c>
      <c r="B19" s="100" t="s">
        <v>91</v>
      </c>
      <c r="C19" s="100"/>
      <c r="D19" s="101"/>
      <c r="E19" s="102"/>
      <c r="F19" s="103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27" customHeight="1" spans="1:26" x14ac:dyDescent="0.25">
      <c r="A20" s="105"/>
      <c r="B20" s="106"/>
      <c r="C20" s="106"/>
      <c r="D20" s="76"/>
      <c r="E20" s="107"/>
      <c r="F20" s="108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27" customHeight="1" spans="1:26" x14ac:dyDescent="0.25">
      <c r="A21" s="105">
        <v>1</v>
      </c>
      <c r="B21" s="109" t="str">
        <f>ライセンス!B22&amp;" License"</f>
        <v>i-Reporter On-premise License Version License</v>
      </c>
      <c r="C21" s="110">
        <f>ライセンス!A16</f>
        <v>1950000</v>
      </c>
      <c r="D21" s="76"/>
      <c r="E21" s="107"/>
      <c r="F21" s="111" t="s">
        <v>92</v>
      </c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27" customHeight="1" spans="1:26" x14ac:dyDescent="0.25">
      <c r="A22" s="112"/>
      <c r="B22" s="113" t="str">
        <f>ライセンス!B23</f>
        <v>　　　　100 user license（＝number of registration ID）</v>
      </c>
      <c r="C22" s="114"/>
      <c r="D22" s="76"/>
      <c r="E22" s="107"/>
      <c r="F22" s="115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5" customHeight="1" spans="1:26" x14ac:dyDescent="0.25">
      <c r="A23" s="112"/>
      <c r="B23" s="113"/>
      <c r="C23" s="114"/>
      <c r="D23" s="116"/>
      <c r="E23" s="117"/>
      <c r="F23" s="115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27" customHeight="1" spans="1:26" x14ac:dyDescent="0.25">
      <c r="A24" s="105">
        <v>2</v>
      </c>
      <c r="B24" s="109" t="s">
        <v>93</v>
      </c>
      <c r="C24" s="110">
        <f>保守料!A16</f>
        <v>360000</v>
      </c>
      <c r="D24" s="76"/>
      <c r="E24" s="107"/>
      <c r="F24" s="111" t="s">
        <v>92</v>
      </c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27" customHeight="1" spans="1:26" x14ac:dyDescent="0.25">
      <c r="A25" s="105"/>
      <c r="B25" s="109"/>
      <c r="C25" s="114"/>
      <c r="D25" s="76"/>
      <c r="E25" s="107"/>
      <c r="F25" s="115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27" customHeight="1" spans="1:26" x14ac:dyDescent="0.25">
      <c r="A26" s="105"/>
      <c r="B26" s="109"/>
      <c r="C26" s="110"/>
      <c r="D26" s="76"/>
      <c r="E26" s="107"/>
      <c r="F26" s="111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27" customHeight="1" spans="1:26" x14ac:dyDescent="0.25">
      <c r="A27" s="105"/>
      <c r="B27" s="109"/>
      <c r="C27" s="114"/>
      <c r="D27" s="76"/>
      <c r="E27" s="107"/>
      <c r="F27" s="115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27" customHeight="1" spans="1:26" x14ac:dyDescent="0.25">
      <c r="A28" s="105"/>
      <c r="B28" s="109"/>
      <c r="C28" s="110"/>
      <c r="D28" s="76"/>
      <c r="E28" s="107"/>
      <c r="F28" s="111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27" customHeight="1" spans="1:26" x14ac:dyDescent="0.25">
      <c r="A29" s="118"/>
      <c r="B29" s="119"/>
      <c r="C29" s="120"/>
      <c r="D29" s="68"/>
      <c r="E29" s="69"/>
      <c r="F29" s="115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27" customHeight="1" spans="1:26" x14ac:dyDescent="0.25">
      <c r="A30" s="121"/>
      <c r="B30" s="122"/>
      <c r="C30" s="110">
        <f>SUM(C19:E29)</f>
        <v>2310000</v>
      </c>
      <c r="D30" s="76"/>
      <c r="E30" s="107"/>
      <c r="F30" s="115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24" customHeight="1" spans="1:26" x14ac:dyDescent="0.25">
      <c r="A31" s="105"/>
      <c r="B31" s="104"/>
      <c r="C31" s="123"/>
      <c r="D31" s="124"/>
      <c r="E31" s="125"/>
      <c r="F31" s="115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24" customHeight="1" spans="1:26" x14ac:dyDescent="0.25">
      <c r="A32" s="112"/>
      <c r="B32" s="126"/>
      <c r="C32" s="127"/>
      <c r="D32" s="76"/>
      <c r="E32" s="107"/>
      <c r="F32" s="115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8.75" customHeight="1" spans="1:26" x14ac:dyDescent="0.25">
      <c r="A33" s="105"/>
      <c r="B33" s="128"/>
      <c r="C33" s="127"/>
      <c r="D33" s="76"/>
      <c r="E33" s="107"/>
      <c r="F33" s="115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8.75" customHeight="1" spans="1:26" x14ac:dyDescent="0.25">
      <c r="A34" s="105"/>
      <c r="B34" s="104"/>
      <c r="C34" s="127"/>
      <c r="D34" s="76"/>
      <c r="E34" s="107"/>
      <c r="F34" s="115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8.75" customHeight="1" spans="1:26" x14ac:dyDescent="0.25">
      <c r="A35" s="112"/>
      <c r="B35" s="126"/>
      <c r="C35" s="127"/>
      <c r="D35" s="76"/>
      <c r="E35" s="107"/>
      <c r="F35" s="115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8.75" customHeight="1" spans="1:26" x14ac:dyDescent="0.25">
      <c r="A36" s="112"/>
      <c r="B36" s="126"/>
      <c r="C36" s="127"/>
      <c r="D36" s="76"/>
      <c r="E36" s="107"/>
      <c r="F36" s="115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8.75" customHeight="1" spans="1:26" x14ac:dyDescent="0.25">
      <c r="A37" s="105"/>
      <c r="B37" s="126"/>
      <c r="C37" s="127"/>
      <c r="D37" s="76"/>
      <c r="E37" s="107"/>
      <c r="F37" s="115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8.75" customHeight="1" spans="1:26" x14ac:dyDescent="0.25">
      <c r="A38" s="112"/>
      <c r="B38" s="126"/>
      <c r="C38" s="127"/>
      <c r="D38" s="76"/>
      <c r="E38" s="107"/>
      <c r="F38" s="115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8.75" customHeight="1" spans="1:26" x14ac:dyDescent="0.25">
      <c r="A39" s="112"/>
      <c r="B39" s="126"/>
      <c r="C39" s="127"/>
      <c r="D39" s="76"/>
      <c r="E39" s="107"/>
      <c r="F39" s="115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8.75" customHeight="1" spans="1:26" x14ac:dyDescent="0.25">
      <c r="A40" s="112"/>
      <c r="B40" s="104"/>
      <c r="C40" s="127"/>
      <c r="D40" s="76"/>
      <c r="E40" s="107"/>
      <c r="F40" s="115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8.75" customHeight="1" spans="1:26" x14ac:dyDescent="0.25">
      <c r="A41" s="112"/>
      <c r="B41" s="128"/>
      <c r="C41" s="127"/>
      <c r="D41" s="76"/>
      <c r="E41" s="107"/>
      <c r="F41" s="115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8.75" customHeight="1" spans="1:26" x14ac:dyDescent="0.25">
      <c r="A42" s="112"/>
      <c r="B42" s="128"/>
      <c r="C42" s="127"/>
      <c r="D42" s="76"/>
      <c r="E42" s="107"/>
      <c r="F42" s="115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8.75" customHeight="1" spans="1:26" x14ac:dyDescent="0.25">
      <c r="A43" s="112"/>
      <c r="B43" s="129"/>
      <c r="C43" s="127"/>
      <c r="D43" s="76"/>
      <c r="E43" s="107"/>
      <c r="F43" s="115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8.75" customHeight="1" spans="1:26" x14ac:dyDescent="0.25">
      <c r="A44" s="130"/>
      <c r="B44" s="131"/>
      <c r="C44" s="131"/>
      <c r="D44" s="132"/>
      <c r="E44" s="133"/>
      <c r="F44" s="13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8.75" customHeight="1" spans="1:26" x14ac:dyDescent="0.25">
      <c r="A45" s="135" t="s">
        <v>94</v>
      </c>
      <c r="B45" s="136"/>
      <c r="C45" s="137"/>
      <c r="D45" s="137"/>
      <c r="E45" s="137"/>
      <c r="F45" s="137"/>
      <c r="G45" s="13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8.75" customHeight="1" spans="1:26" x14ac:dyDescent="0.25">
      <c r="A46" s="77" t="s">
        <v>95</v>
      </c>
      <c r="B46" s="138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8.75" customHeight="1" spans="1:26" x14ac:dyDescent="0.25">
      <c r="A47" s="77" t="str">
        <f>IF(OR(設定情報!C7="Panasonic",設定情報!C7="Dentsu Soken"),"","Please cover the withholding tax at your side and arrange the payment with full amount of invoice.")</f>
        <v>Please cover the withholding tax at your side and arrange the payment with full amount of invoice.</v>
      </c>
      <c r="B47" s="138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 spans="1:26" x14ac:dyDescent="0.2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 spans="1:26" x14ac:dyDescent="0.2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 spans="1:26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 spans="1:26" x14ac:dyDescent="0.2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 spans="1:26" x14ac:dyDescent="0.2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 spans="1:26" x14ac:dyDescent="0.2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 spans="1:26" x14ac:dyDescent="0.2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 spans="1:26" x14ac:dyDescent="0.2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 spans="1:26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 spans="1:26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 spans="1:26" x14ac:dyDescent="0.2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 spans="1:26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 spans="1:26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 spans="1:26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 spans="1:26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 spans="1:26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 spans="1:26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 spans="1:26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 spans="1:26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 spans="1:26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 spans="1:26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 spans="1:26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 spans="1:26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 spans="1:26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 spans="1:26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 spans="1:26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 spans="1:26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 spans="1:26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 spans="1:26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 spans="1:26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 spans="1:26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 spans="1:26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 spans="1:26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 spans="1:26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 spans="1:26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 spans="1:26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 spans="1:26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 spans="1:26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 spans="1:26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 spans="1:26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 spans="1:26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 spans="1:26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 spans="1:26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 spans="1:26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 spans="1:26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 spans="1:26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 spans="1:26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 spans="1:26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 spans="1:26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 spans="1:26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 spans="1:26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 spans="1:26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 spans="1:26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 spans="1:26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 spans="1:26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 spans="1:26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 spans="1:26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 spans="1:26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 spans="1:26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 spans="1:26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 spans="1:26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 spans="1:26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 spans="1:26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 spans="1:26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 spans="1:26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 spans="1:26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 spans="1:26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 spans="1:26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 spans="1:26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 spans="1:26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 spans="1:26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 spans="1:26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 spans="1:26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 spans="1:26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 spans="1:26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 spans="1:26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 spans="1:26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 spans="1:26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 spans="1:26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 spans="1:26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 spans="1:26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 spans="1:26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 spans="1:26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 spans="1:26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 spans="1:26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 spans="1:26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 spans="1:26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 spans="1:26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 spans="1:26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 spans="1:26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 spans="1:26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 spans="1:26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 spans="1:26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 spans="1:26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 spans="1:26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 spans="1:26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 spans="1:26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 spans="1:26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 spans="1:26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 spans="1:26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 spans="1:26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 spans="1:26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 spans="1:26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 spans="1:26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 spans="1:26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 spans="1:26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 spans="1:26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 spans="1:26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 spans="1:26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 spans="1:26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 spans="1:26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 spans="1:26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 spans="1:26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 spans="1:26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 spans="1:26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 spans="1:26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 spans="1:26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 spans="1:26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 spans="1:26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 spans="1:26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 spans="1:26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 spans="1:26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 spans="1:26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 spans="1:26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 spans="1:26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 spans="1:26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 spans="1:26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 spans="1:26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 spans="1:26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 spans="1:26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 spans="1:26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 spans="1:26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 spans="1:26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 spans="1:26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 spans="1:26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 spans="1:26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 spans="1:26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 spans="1:26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 spans="1:26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 spans="1:26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 spans="1:26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 spans="1:26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 spans="1:26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 spans="1:26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 spans="1:26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 spans="1:26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 spans="1:26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 spans="1:26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 spans="1:26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 spans="1:26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 spans="1:26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 spans="1:26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 spans="1:26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 spans="1:26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 spans="1:26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 spans="1:26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 spans="1:26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 spans="1:26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 spans="1:26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 spans="1:26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 spans="1:26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 spans="1:26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 spans="1:26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 spans="1:26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 spans="1:26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 spans="1:26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 spans="1:26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 spans="1:26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 spans="1:26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 spans="1:26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 spans="1:26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 spans="1:26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 spans="1:26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 spans="1:26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 spans="1:26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 spans="1:26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 spans="1:26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 spans="1:26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 spans="1:26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 spans="1:26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 spans="1:26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 spans="1:26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 spans="1:26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 spans="1:26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 spans="1:26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 spans="1:26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 spans="1:26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 spans="1:26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 spans="1:26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 spans="1:26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 spans="1:26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 spans="1:26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 spans="1:26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 spans="1:26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 spans="1:26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 spans="1:26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 spans="1:26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 spans="1:26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 spans="1:26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 spans="1:26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 spans="1:26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 spans="1:26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 spans="1:26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 spans="1:26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 spans="1:26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 spans="1:26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 spans="1:26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 spans="1:26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 spans="1:26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 spans="1:26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 spans="1:26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 spans="1:26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 spans="1:26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 spans="1:26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 spans="1:26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 spans="1:26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 spans="1:26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 spans="1:26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 spans="1:26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 spans="1:26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 spans="1:26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 spans="1:26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 spans="1:26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 spans="1:26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 spans="1:26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 spans="1:26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 spans="1:26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 spans="1:26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 spans="1:26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 spans="1:26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 spans="1:26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 spans="1:26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 spans="1:26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 spans="1:26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 spans="1:26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 spans="1:26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 spans="1:26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 spans="1:26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 spans="1:26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 spans="1:26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 spans="1:26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 spans="1:26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 spans="1:26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 spans="1:26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 spans="1:26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 spans="1:26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 spans="1:26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 spans="1:26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 spans="1:26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 spans="1:26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 spans="1:26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 spans="1:26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 spans="1:26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 spans="1:26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 spans="1:26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 spans="1:26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 spans="1:26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 spans="1:26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 spans="1:26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 spans="1:26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 spans="1:26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 spans="1:26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 spans="1:26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 spans="1:26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 spans="1:26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 spans="1:26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 spans="1:26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 spans="1:26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 spans="1:26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 spans="1:26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 spans="1:26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 spans="1:26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 spans="1:26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 spans="1:26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 spans="1:26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 spans="1:26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 spans="1:26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 spans="1:26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 spans="1:26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 spans="1:26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 spans="1:26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 spans="1:26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 spans="1:26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 spans="1:26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 spans="1:26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 spans="1:26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 spans="1:26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 spans="1:26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 spans="1:26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 spans="1:26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 spans="1:26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 spans="1:26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 spans="1:26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 spans="1:26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 spans="1:26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 spans="1:26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 spans="1:26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 spans="1:26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 spans="1:26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 spans="1:26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 spans="1:26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 spans="1:26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 spans="1:26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 spans="1:26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 spans="1:26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 spans="1:26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 spans="1:26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 spans="1:26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 spans="1:26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 spans="1:26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 spans="1:26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 spans="1:26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 spans="1:26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 spans="1:26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 spans="1:26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 spans="1:26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 spans="1:26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 spans="1:26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 spans="1:26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 spans="1:26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 spans="1:26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 spans="1:26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 spans="1:26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 spans="1:26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 spans="1:26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 spans="1:26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 spans="1:26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 spans="1:26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 spans="1:26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 spans="1:26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 spans="1:26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 spans="1:26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 spans="1:26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 spans="1:26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 spans="1:26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 spans="1:26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 spans="1:26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 spans="1:26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 spans="1:26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 spans="1:26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 spans="1:26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 spans="1:26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 spans="1:26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 spans="1:26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 spans="1:26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 spans="1:26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 spans="1:26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 spans="1:26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 spans="1:26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 spans="1:26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 spans="1:26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 spans="1:26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 spans="1:26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 spans="1:26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 spans="1:26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 spans="1:26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 spans="1:26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 spans="1:26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 spans="1:26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 spans="1:26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 spans="1:26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 spans="1:26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 spans="1:26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 spans="1:26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 spans="1:26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 spans="1:26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 spans="1:26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 spans="1:26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 spans="1:26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 spans="1:26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 spans="1:26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 spans="1:26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 spans="1:26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 spans="1:26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 spans="1:26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 spans="1:26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 spans="1:26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 spans="1:26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 spans="1:26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 spans="1:26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 spans="1:26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 spans="1:26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 spans="1:26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 spans="1:26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 spans="1:26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 spans="1:26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 spans="1:26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 spans="1:26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 spans="1:26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 spans="1:26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 spans="1:26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 spans="1:26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 spans="1:26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 spans="1:26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 spans="1:26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 spans="1:26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 spans="1:26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 spans="1:26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 spans="1:26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 spans="1:26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 spans="1:26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 spans="1:26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 spans="1:26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 spans="1:26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 spans="1:26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 spans="1:26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 spans="1:26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 spans="1:26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 spans="1:26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 spans="1:26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 spans="1:26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 spans="1:26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 spans="1:26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 spans="1:26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 spans="1:26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 spans="1:26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 spans="1:26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 spans="1:26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 spans="1:26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 spans="1:26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 spans="1:26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 spans="1:26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 spans="1:26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 spans="1:26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 spans="1:26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 spans="1:26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 spans="1:26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 spans="1:26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 spans="1:26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 spans="1:26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 spans="1:26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 spans="1:26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 spans="1:26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 spans="1:26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 spans="1:26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 spans="1:26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 spans="1:26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 spans="1:26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 spans="1:26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 spans="1:26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 spans="1:26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 spans="1:26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 spans="1:26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 spans="1:26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 spans="1:26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 spans="1:26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 spans="1:26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 spans="1:26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 spans="1:26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 spans="1:26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 spans="1:26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 spans="1:26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 spans="1:26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 spans="1:26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 spans="1:26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 spans="1:26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 spans="1:26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 spans="1:26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 spans="1:26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 spans="1:26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 spans="1:26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 spans="1:26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 spans="1:26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 spans="1:26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 spans="1:26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 spans="1:26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 spans="1:26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 spans="1:26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 spans="1:26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 spans="1:26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 spans="1:26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 spans="1:26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 spans="1:26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 spans="1:26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 spans="1:26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 spans="1:26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 spans="1:26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 spans="1:26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 spans="1:26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 spans="1:26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 spans="1:26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 spans="1:26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 spans="1:26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 spans="1:26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 spans="1:26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 spans="1:26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 spans="1:26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 spans="1:26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 spans="1:26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 spans="1:26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 spans="1:26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 spans="1:26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 spans="1:26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 spans="1:26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 spans="1:26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 spans="1:26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 spans="1:26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 spans="1:26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 spans="1:26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 spans="1:26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 spans="1:26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 spans="1:26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 spans="1:26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 spans="1:26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 spans="1:26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 spans="1:26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 spans="1:26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 spans="1:26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 spans="1:26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 spans="1:26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 spans="1:26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 spans="1:26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 spans="1:26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 spans="1:26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 spans="1:26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 spans="1:26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 spans="1:26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 spans="1:26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 spans="1:26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 spans="1:26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 spans="1:26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 spans="1:26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 spans="1:26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 spans="1:26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 spans="1:26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 spans="1:26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 spans="1:26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 spans="1:26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 spans="1:26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 spans="1:26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 spans="1:26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 spans="1:26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 spans="1:26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 spans="1:26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 spans="1:26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 spans="1:26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 spans="1:26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 spans="1:26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 spans="1:26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 spans="1:26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 spans="1:26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 spans="1:26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 spans="1:26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 spans="1:26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 spans="1:26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 spans="1:26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 spans="1:26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 spans="1:26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 spans="1:26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 spans="1:26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 spans="1:26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 spans="1:26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 spans="1:26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 spans="1:26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 spans="1:26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 spans="1:26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 spans="1:26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 spans="1:26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 spans="1:26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 spans="1:26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 spans="1:26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 spans="1:26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 spans="1:26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 spans="1:26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 spans="1:26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 spans="1:26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 spans="1:26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 spans="1:26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 spans="1:26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 spans="1:26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 spans="1:26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 spans="1:26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 spans="1:26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 spans="1:26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 spans="1:26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 spans="1:26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 spans="1:26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 spans="1:26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 spans="1:26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 spans="1:26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 spans="1:26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 spans="1:26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 spans="1:26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 spans="1:26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 spans="1:26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 spans="1:26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 spans="1:26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 spans="1:26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 spans="1:26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 spans="1:26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 spans="1:26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 spans="1:26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 spans="1:26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 spans="1:26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 spans="1:26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 spans="1:26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 spans="1:26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 spans="1:26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 spans="1:26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 spans="1:26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 spans="1:26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 spans="1:26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 spans="1:26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 spans="1:26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 spans="1:26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 spans="1:26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 spans="1:26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 spans="1:26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 spans="1:26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 spans="1:26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 spans="1:26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 spans="1:26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 spans="1:26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 spans="1:26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 spans="1:26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 spans="1:26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 spans="1:26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 spans="1:26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 spans="1:26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 spans="1:26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 spans="1:26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 spans="1:26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 spans="1:26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 spans="1:26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 spans="1:26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 spans="1:26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 spans="1:26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 spans="1:26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 spans="1:26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 spans="1:26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 spans="1:26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 spans="1:26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 spans="1:26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 spans="1:26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 spans="1:26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 spans="1:26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 spans="1:26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 spans="1:26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 spans="1:26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 spans="1:26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 spans="1:26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 spans="1:26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 spans="1:26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 spans="1:26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 spans="1:26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 spans="1:26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 spans="1:26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 spans="1:26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 spans="1:26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 spans="1:26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 spans="1:26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 spans="1:26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 spans="1:26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 spans="1:26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 spans="1:26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 spans="1:26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 spans="1:26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 spans="1:26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 spans="1:26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 spans="1:26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 spans="1:26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 spans="1:26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 spans="1:26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 spans="1:26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 spans="1:26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 spans="1:26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 spans="1:26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 spans="1:26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 spans="1:26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 spans="1:26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 spans="1:26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 spans="1:26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 spans="1:26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 spans="1:26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 spans="1:26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 spans="1:26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 spans="1:26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 spans="1:26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 spans="1:26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 spans="1:26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 spans="1:26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 spans="1:26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 spans="1:26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 spans="1:26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 spans="1:26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 spans="1:26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 spans="1:26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 spans="1:26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 spans="1:26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 spans="1:26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 spans="1:26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 spans="1:26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 spans="1:26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 spans="1:26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 spans="1:26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 spans="1:26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 spans="1:26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 spans="1:26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 spans="1:26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 spans="1:26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 spans="1:26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 spans="1:26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 spans="1:26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 spans="1:26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 spans="1:26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 spans="1:26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 spans="1:26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 spans="1:26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 spans="1:26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 spans="1:26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 spans="1:26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 spans="1:26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 spans="1:26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 spans="1:26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 spans="1:26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 spans="1:26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 spans="1:26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 spans="1:26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 spans="1:26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 spans="1:26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 spans="1:26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 spans="1:26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 spans="1:26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 spans="1:26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 spans="1:26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 spans="1:26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 spans="1:26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 spans="1:26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 spans="1:26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 spans="1:26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 spans="1:26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 spans="1:26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 spans="1:26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 spans="1:26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 spans="1:26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 spans="1:26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 spans="1:26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 spans="1:26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 spans="1:26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 spans="1:26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 spans="1:26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 spans="1:26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 spans="1:26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 spans="1:26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 spans="1:26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 spans="1:26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 spans="1:26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 spans="1:26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 spans="1:26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 spans="1:26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 spans="1:26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 spans="1:26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 spans="1:26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 spans="1:26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 spans="1:26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 spans="1:26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 spans="1:26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 spans="1:26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 spans="1:26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 spans="1:26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 spans="1:26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 spans="1:26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 spans="1:26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 spans="1:26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 spans="1:26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 spans="1:26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 spans="1:26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 spans="1:26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 spans="1:26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 spans="1:26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 spans="1:26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 spans="1:26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 spans="1:26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 spans="1:26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 spans="1:26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 spans="1:26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 spans="1:26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 spans="1:26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 spans="1:26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 spans="1:26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 spans="1:26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 spans="1:26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 spans="1:26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 spans="1:26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 spans="1:26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 spans="1:26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 spans="1:26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 spans="1:26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 spans="1:26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 spans="1:26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 spans="1:26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 spans="1:26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 spans="1:26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 spans="1:26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 spans="1:26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 spans="1:26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 spans="1:26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 spans="1:26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 spans="1:26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 spans="1:26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 spans="1:26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 spans="1:26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 spans="1:26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 spans="1:26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 spans="1:26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 spans="1:26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 spans="1:26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 spans="1:26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 spans="1:26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 spans="1:26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 spans="1:26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 spans="1:26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 spans="1:26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 spans="1:26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 spans="1:26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 spans="1:26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 spans="1:26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 spans="1:26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 spans="1:26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 spans="1:26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 spans="1:26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 spans="1:26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 spans="1:26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 spans="1:26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 spans="1:26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 spans="1:26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 spans="1:26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 spans="1:26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 spans="1:26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 spans="1:26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 spans="1:26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 spans="1:26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 spans="1:26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 spans="1:26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 spans="1:26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 spans="1:26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 spans="1:26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 spans="1:26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 spans="1:26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 spans="1:26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 spans="1:26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 spans="1:26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 spans="1:26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 spans="1:26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 spans="1:26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 spans="1:26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 spans="1:26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 spans="1:26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 spans="1:26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 spans="1:26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 spans="1:26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 spans="1:26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 spans="1:26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 spans="1:26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 spans="1:26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 spans="1:26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 spans="1:26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 spans="1:26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 spans="1:26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 spans="1:26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 spans="1:26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 spans="1:26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 spans="1:26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 spans="1:26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 spans="1:26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 spans="1:26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 spans="1:26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 spans="1:26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 spans="1:26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 spans="1:26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 spans="1:26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 spans="1:26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 spans="1:26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 spans="1:26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 spans="1:26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 spans="1:26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 spans="1:26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 spans="1:26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 spans="1:26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 spans="1:26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 spans="1:26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 spans="1:26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 spans="1:26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 spans="1:26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 spans="1:26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 spans="1:26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 spans="1:26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 spans="1:26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 spans="1:26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 spans="1:26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 spans="1:26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 spans="1:26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 spans="1:26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 spans="1:26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 spans="1:26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 spans="1:26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 spans="1:26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 spans="1:26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 spans="1:26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 spans="1:26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 spans="1:26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 spans="1:26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 spans="1:26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 spans="1:26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 spans="1:26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 spans="1:26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 spans="1:26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 spans="1:26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 spans="1:26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 spans="1:26" x14ac:dyDescent="0.2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 spans="1:26" x14ac:dyDescent="0.2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 spans="1:26" x14ac:dyDescent="0.2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 spans="1:26" x14ac:dyDescent="0.2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 spans="1:26" x14ac:dyDescent="0.2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 spans="1:26" x14ac:dyDescent="0.2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 spans="1:26" x14ac:dyDescent="0.2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 spans="1:26" x14ac:dyDescent="0.2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 spans="1:26" x14ac:dyDescent="0.2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 spans="1:26" x14ac:dyDescent="0.2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 spans="1:26" x14ac:dyDescent="0.2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 spans="1:26" x14ac:dyDescent="0.2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 spans="1:26" x14ac:dyDescent="0.2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 spans="1:26" x14ac:dyDescent="0.2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 spans="1:26" x14ac:dyDescent="0.2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 spans="1:26" x14ac:dyDescent="0.2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 spans="1:26" x14ac:dyDescent="0.2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 spans="1:26" x14ac:dyDescent="0.2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 spans="1:26" x14ac:dyDescent="0.2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 spans="1:26" x14ac:dyDescent="0.2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 spans="1:26" x14ac:dyDescent="0.2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 spans="1:26" x14ac:dyDescent="0.2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 spans="1:26" x14ac:dyDescent="0.2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 spans="1:26" x14ac:dyDescent="0.2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 spans="1:26" x14ac:dyDescent="0.2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 spans="1:26" x14ac:dyDescent="0.2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 spans="1:26" x14ac:dyDescent="0.2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 spans="1:26" x14ac:dyDescent="0.2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 spans="1:26" x14ac:dyDescent="0.2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 spans="1:26" x14ac:dyDescent="0.2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 spans="1:26" x14ac:dyDescent="0.2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 spans="1:26" x14ac:dyDescent="0.2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 spans="1:26" x14ac:dyDescent="0.2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 spans="1:26" x14ac:dyDescent="0.2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 spans="1:26" x14ac:dyDescent="0.2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 spans="1:26" x14ac:dyDescent="0.2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 spans="1:26" x14ac:dyDescent="0.2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 spans="1:26" x14ac:dyDescent="0.2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 spans="1:26" x14ac:dyDescent="0.2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 spans="1:26" x14ac:dyDescent="0.2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 spans="1:26" x14ac:dyDescent="0.2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 spans="1:26" x14ac:dyDescent="0.2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 spans="1:26" x14ac:dyDescent="0.2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 spans="1:26" x14ac:dyDescent="0.2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15.75" customHeight="1" spans="1:26" x14ac:dyDescent="0.25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</sheetData>
  <mergeCells count="35">
    <mergeCell ref="A1:F1"/>
    <mergeCell ref="A2:F2"/>
    <mergeCell ref="D3:F3"/>
    <mergeCell ref="D4:F4"/>
    <mergeCell ref="A6:B6"/>
    <mergeCell ref="A10:B10"/>
    <mergeCell ref="A11:F13"/>
    <mergeCell ref="A14:F14"/>
    <mergeCell ref="A15:F15"/>
    <mergeCell ref="A16:B16"/>
    <mergeCell ref="C18:E18"/>
    <mergeCell ref="C19:E19"/>
    <mergeCell ref="C20:E20"/>
    <mergeCell ref="C21:E21"/>
    <mergeCell ref="C22:E22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printOptions horizontalCentered="1"/>
  <pageMargins left="0.1968503937007874" right="0.1968503937007874" top="0.9055118110236221" bottom="0.984251968503937" header="0" footer="0"/>
  <pageSetup paperSize="9" orientation="portrait" horizontalDpi="4294967295" verticalDpi="4294967295" scale="67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1"/>
  <sheetViews>
    <sheetView workbookViewId="0" showGridLines="0" zoomScale="100" zoomScaleNormal="100"/>
  </sheetViews>
  <sheetFormatPr defaultRowHeight="15" outlineLevelRow="0" outlineLevelCol="0" x14ac:dyDescent="0" defaultColWidth="14.44140625"/>
  <cols>
    <col min="1" max="1" width="8" customWidth="1"/>
    <col min="2" max="2" width="5.33203125" customWidth="1"/>
    <col min="3" max="3" width="65.44140625" customWidth="1"/>
    <col min="4" max="5" width="6.6640625" customWidth="1"/>
    <col min="6" max="6" width="20.6640625" customWidth="1"/>
    <col min="7" max="7" width="17.44140625" customWidth="1"/>
    <col min="8" max="8" width="10.44140625" customWidth="1"/>
    <col min="9" max="9" width="21.44140625" customWidth="1"/>
  </cols>
  <sheetData>
    <row r="1" ht="30" customHeight="1" spans="1:26" x14ac:dyDescent="0.25">
      <c r="A1" s="75" t="s">
        <v>82</v>
      </c>
      <c r="B1" s="76"/>
      <c r="C1" s="76"/>
      <c r="D1" s="76"/>
      <c r="E1" s="76"/>
      <c r="F1" s="76"/>
      <c r="G1" s="76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30" customHeight="1" spans="1:26" x14ac:dyDescent="0.25">
      <c r="A2" s="78"/>
      <c r="B2" s="76"/>
      <c r="C2" s="76"/>
      <c r="D2" s="76"/>
      <c r="E2" s="76"/>
      <c r="F2" s="76"/>
      <c r="G2" s="76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8" customHeight="1" spans="1:26" x14ac:dyDescent="0.25">
      <c r="A3" s="75"/>
      <c r="B3" s="75"/>
      <c r="C3" s="75"/>
      <c r="D3" s="77"/>
      <c r="E3" s="79">
        <f>表紙!$D$3</f>
        <v>45793</v>
      </c>
      <c r="F3" s="76"/>
      <c r="G3" s="76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8" customHeight="1" spans="1:26" x14ac:dyDescent="0.25">
      <c r="A4" s="77"/>
      <c r="B4" s="77"/>
      <c r="C4" s="77"/>
      <c r="D4" s="77"/>
      <c r="E4" s="80" t="str">
        <f>表紙!D4&amp;"-01"</f>
        <v>Quotation No: S-25-00398-001-01</v>
      </c>
      <c r="F4" s="76"/>
      <c r="G4" s="76"/>
      <c r="H4" s="80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8" customHeight="1" spans="1:26" x14ac:dyDescent="0.25">
      <c r="A5" s="77"/>
      <c r="B5" s="77"/>
      <c r="C5" s="77"/>
      <c r="D5" s="81"/>
      <c r="E5" s="81"/>
      <c r="F5" s="81"/>
      <c r="G5" s="81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28.5" customHeight="1" spans="1:26" x14ac:dyDescent="0.25">
      <c r="A6" s="82" t="str">
        <f>表紙!A6</f>
        <v>To: PT KDDI Indonesia  </v>
      </c>
      <c r="B6" s="76"/>
      <c r="C6" s="76"/>
      <c r="D6" s="77"/>
      <c r="E6" s="77"/>
      <c r="F6" s="77"/>
      <c r="G6" s="83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26.4" customHeight="1" spans="1:26" x14ac:dyDescent="0.25">
      <c r="A7" s="84"/>
      <c r="B7" s="84"/>
      <c r="C7" s="85"/>
      <c r="D7" s="77"/>
      <c r="E7" s="77"/>
      <c r="F7" s="77"/>
      <c r="G7" s="83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26.4" customHeight="1" spans="1:26" x14ac:dyDescent="0.25">
      <c r="A8" s="84"/>
      <c r="B8" s="84"/>
      <c r="C8" s="85"/>
      <c r="D8" s="77"/>
      <c r="E8" s="77"/>
      <c r="F8" s="77"/>
      <c r="G8" s="86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26.4" customHeight="1" spans="1:26" x14ac:dyDescent="0.25">
      <c r="A9" s="84"/>
      <c r="B9" s="84"/>
      <c r="C9" s="85"/>
      <c r="D9" s="77"/>
      <c r="E9" s="77"/>
      <c r="F9" s="77"/>
      <c r="G9" s="8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7.25" customHeight="1" spans="1:26" x14ac:dyDescent="0.25">
      <c r="A10" s="88"/>
      <c r="B10" s="76"/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7.25" customHeight="1" spans="1:26" x14ac:dyDescent="0.25">
      <c r="A11" s="139" t="s">
        <v>92</v>
      </c>
      <c r="B11" s="76"/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7.25" customHeight="1" spans="1:26" x14ac:dyDescent="0.25">
      <c r="A12" s="140" t="str">
        <f>"Term of Payment ： "&amp;設定情報!C11</f>
        <v>Term of Payment ： At the end of next month of delivery date</v>
      </c>
      <c r="B12" s="76"/>
      <c r="C12" s="76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7.25" customHeight="1" spans="1:26" x14ac:dyDescent="0.25">
      <c r="A13" s="140" t="str">
        <f>"Validity　　： "&amp;設定情報!C15</f>
        <v>Validity　　： End of 2025/8 </v>
      </c>
      <c r="B13" s="76"/>
      <c r="C13" s="76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9.2" customHeight="1" spans="1:26" x14ac:dyDescent="0.25">
      <c r="A14" s="141"/>
      <c r="B14" s="141"/>
      <c r="C14" s="138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7.4" customHeight="1" spans="1:26" x14ac:dyDescent="0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24.75" customHeight="1" spans="1:26" x14ac:dyDescent="0.25">
      <c r="A16" s="142">
        <f>G51</f>
        <v>1950000</v>
      </c>
      <c r="B16" s="76"/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5.75" customHeight="1" spans="1:26" x14ac:dyDescent="0.2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25.5" customHeight="1" spans="1:26" x14ac:dyDescent="0.25">
      <c r="A18" s="92" t="s">
        <v>96</v>
      </c>
      <c r="B18" s="93"/>
      <c r="C18" s="93" t="s">
        <v>88</v>
      </c>
      <c r="D18" s="143" t="s">
        <v>97</v>
      </c>
      <c r="E18" s="144" t="s">
        <v>98</v>
      </c>
      <c r="F18" s="143" t="s">
        <v>99</v>
      </c>
      <c r="G18" s="97" t="s">
        <v>100</v>
      </c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ht="18.75" customHeight="1" spans="1:26" x14ac:dyDescent="0.25">
      <c r="A19" s="105"/>
      <c r="B19" s="145" t="str">
        <f>表紙!A14</f>
        <v>For:PT Minda ASEAN Automotive</v>
      </c>
      <c r="C19" s="146"/>
      <c r="D19" s="100"/>
      <c r="E19" s="100"/>
      <c r="F19" s="100"/>
      <c r="G19" s="103"/>
      <c r="H19" s="104"/>
      <c r="I19" s="104"/>
      <c r="J19" s="77"/>
      <c r="K19" s="77"/>
      <c r="L19" s="77"/>
      <c r="M19" s="77"/>
      <c r="N19" s="77"/>
      <c r="O19" s="77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8.75" customHeight="1" spans="1:26" x14ac:dyDescent="0.25">
      <c r="A20" s="112"/>
      <c r="B20" s="147" t="str">
        <f>表紙!A15</f>
        <v>　</v>
      </c>
      <c r="C20" s="107"/>
      <c r="D20" s="127"/>
      <c r="E20" s="127"/>
      <c r="F20" s="148"/>
      <c r="G20" s="111"/>
      <c r="H20" s="104"/>
      <c r="I20" s="104"/>
      <c r="J20" s="77"/>
      <c r="K20" s="77"/>
      <c r="L20" s="77"/>
      <c r="M20" s="77"/>
      <c r="N20" s="77"/>
      <c r="O20" s="77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8.75" customHeight="1" spans="1:26" x14ac:dyDescent="0.25">
      <c r="A21" s="105">
        <v>1</v>
      </c>
      <c r="B21" s="149" t="s">
        <v>101</v>
      </c>
      <c r="C21" s="128"/>
      <c r="D21" s="127"/>
      <c r="E21" s="127"/>
      <c r="F21" s="148"/>
      <c r="G21" s="111"/>
      <c r="H21" s="104"/>
      <c r="I21" s="104"/>
      <c r="J21" s="77"/>
      <c r="K21" s="77"/>
      <c r="L21" s="77"/>
      <c r="M21" s="77"/>
      <c r="N21" s="77"/>
      <c r="O21" s="77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8.75" customHeight="1" spans="1:26" x14ac:dyDescent="0.25">
      <c r="A22" s="105"/>
      <c r="B22" s="106" t="s">
        <v>102</v>
      </c>
      <c r="C22" s="104"/>
      <c r="D22" s="150">
        <v>1</v>
      </c>
      <c r="E22" s="151" t="s">
        <v>103</v>
      </c>
      <c r="F22" s="152">
        <f>設定情報!C19</f>
        <v>3000000</v>
      </c>
      <c r="G22" s="115">
        <f>D22*F22</f>
        <v>3000000</v>
      </c>
      <c r="H22" s="104"/>
      <c r="I22" s="104"/>
      <c r="J22" s="77"/>
      <c r="K22" s="77"/>
      <c r="L22" s="77"/>
      <c r="M22" s="77"/>
      <c r="N22" s="77"/>
      <c r="O22" s="77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8.75" customHeight="1" spans="1:26" x14ac:dyDescent="0.25">
      <c r="A23" s="105"/>
      <c r="B23" s="153" t="str">
        <f>"　　　　"&amp;設定情報!C18&amp;" user license（＝number of registration ID）"</f>
        <v>　　　　100 user license（＝number of registration ID）</v>
      </c>
      <c r="C23" s="154"/>
      <c r="D23" s="150"/>
      <c r="E23" s="155"/>
      <c r="F23" s="156"/>
      <c r="G23" s="115"/>
      <c r="H23" s="104"/>
      <c r="I23" s="104"/>
      <c r="J23" s="77"/>
      <c r="K23" s="77"/>
      <c r="L23" s="77"/>
      <c r="M23" s="77"/>
      <c r="N23" s="77"/>
      <c r="O23" s="77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8.75" customHeight="1" spans="1:26" x14ac:dyDescent="0.25">
      <c r="A24" s="105"/>
      <c r="B24" s="4" t="s">
        <v>104</v>
      </c>
      <c r="C24" s="104"/>
      <c r="D24" s="150"/>
      <c r="E24" s="155"/>
      <c r="F24" s="156"/>
      <c r="G24" s="115"/>
      <c r="H24" s="104"/>
      <c r="I24" s="104"/>
      <c r="J24" s="77"/>
      <c r="K24" s="77"/>
      <c r="L24" s="77"/>
      <c r="M24" s="77"/>
      <c r="N24" s="77"/>
      <c r="O24" s="77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8.75" customHeight="1" spans="1:26" x14ac:dyDescent="0.25">
      <c r="A25" s="112"/>
      <c r="B25" s="73">
        <v>1</v>
      </c>
      <c r="C25" s="4" t="s">
        <v>105</v>
      </c>
      <c r="D25" s="150"/>
      <c r="E25" s="155"/>
      <c r="F25" s="152"/>
      <c r="G25" s="115"/>
      <c r="H25" s="104"/>
      <c r="I25" s="104"/>
      <c r="J25" s="77"/>
      <c r="K25" s="77"/>
      <c r="L25" s="77"/>
      <c r="M25" s="77"/>
      <c r="N25" s="77"/>
      <c r="O25" s="77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8.75" customHeight="1" spans="1:26" x14ac:dyDescent="0.25">
      <c r="A26" s="112"/>
      <c r="B26" s="73">
        <v>2</v>
      </c>
      <c r="C26" s="4" t="s">
        <v>106</v>
      </c>
      <c r="D26" s="150"/>
      <c r="E26" s="155"/>
      <c r="F26" s="152"/>
      <c r="G26" s="115"/>
      <c r="H26" s="104"/>
      <c r="I26" s="104"/>
      <c r="J26" s="77"/>
      <c r="K26" s="77"/>
      <c r="L26" s="77"/>
      <c r="M26" s="77"/>
      <c r="N26" s="77"/>
      <c r="O26" s="77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8.75" customHeight="1" spans="1:26" x14ac:dyDescent="0.25">
      <c r="A27" s="105"/>
      <c r="B27" s="73">
        <v>3</v>
      </c>
      <c r="C27" s="4" t="s">
        <v>107</v>
      </c>
      <c r="D27" s="150"/>
      <c r="E27" s="155"/>
      <c r="F27" s="156"/>
      <c r="G27" s="115"/>
      <c r="H27" s="104"/>
      <c r="I27" s="104"/>
      <c r="J27" s="77"/>
      <c r="K27" s="77"/>
      <c r="L27" s="77"/>
      <c r="M27" s="77"/>
      <c r="N27" s="77"/>
      <c r="O27" s="77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8.75" customHeight="1" spans="1:26" x14ac:dyDescent="0.25">
      <c r="A28" s="105"/>
      <c r="B28" s="73">
        <v>4</v>
      </c>
      <c r="C28" s="4" t="s">
        <v>108</v>
      </c>
      <c r="D28" s="150"/>
      <c r="E28" s="155"/>
      <c r="F28" s="156"/>
      <c r="G28" s="115"/>
      <c r="H28" s="104"/>
      <c r="I28" s="104"/>
      <c r="J28" s="77"/>
      <c r="K28" s="77"/>
      <c r="L28" s="77"/>
      <c r="M28" s="77"/>
      <c r="N28" s="77"/>
      <c r="O28" s="77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8.75" customHeight="1" spans="1:26" x14ac:dyDescent="0.25">
      <c r="A29" s="112"/>
      <c r="B29" s="157" t="s">
        <v>109</v>
      </c>
      <c r="C29" s="104"/>
      <c r="D29" s="150"/>
      <c r="E29" s="155"/>
      <c r="F29" s="152"/>
      <c r="G29" s="115"/>
      <c r="H29" s="104"/>
      <c r="I29" s="104"/>
      <c r="J29" s="77"/>
      <c r="K29" s="77"/>
      <c r="L29" s="77"/>
      <c r="M29" s="77"/>
      <c r="N29" s="77"/>
      <c r="O29" s="77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8.75" customHeight="1" spans="1:26" x14ac:dyDescent="0.25">
      <c r="A30" s="112"/>
      <c r="B30" s="157" t="s">
        <v>110</v>
      </c>
      <c r="C30" s="104"/>
      <c r="D30" s="150"/>
      <c r="E30" s="155"/>
      <c r="F30" s="152"/>
      <c r="G30" s="115"/>
      <c r="H30" s="104"/>
      <c r="I30" s="104"/>
      <c r="J30" s="77"/>
      <c r="K30" s="77"/>
      <c r="L30" s="77"/>
      <c r="M30" s="77"/>
      <c r="N30" s="77"/>
      <c r="O30" s="77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49.5" customHeight="1" spans="1:26" x14ac:dyDescent="0.25">
      <c r="A31" s="105"/>
      <c r="B31" s="158" t="s">
        <v>111</v>
      </c>
      <c r="C31" s="107"/>
      <c r="D31" s="150"/>
      <c r="E31" s="155"/>
      <c r="F31" s="156"/>
      <c r="G31" s="115"/>
      <c r="H31" s="104"/>
      <c r="I31" s="104"/>
      <c r="J31" s="77"/>
      <c r="K31" s="77"/>
      <c r="L31" s="77"/>
      <c r="M31" s="77"/>
      <c r="N31" s="77"/>
      <c r="O31" s="77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8.75" customHeight="1" spans="1:26" x14ac:dyDescent="0.25">
      <c r="A32" s="105"/>
      <c r="B32" s="157" t="s">
        <v>112</v>
      </c>
      <c r="C32" s="104"/>
      <c r="D32" s="150"/>
      <c r="E32" s="155"/>
      <c r="F32" s="152"/>
      <c r="G32" s="115"/>
      <c r="H32" s="104"/>
      <c r="I32" s="104"/>
      <c r="J32" s="77"/>
      <c r="K32" s="77"/>
      <c r="L32" s="77"/>
      <c r="M32" s="77"/>
      <c r="N32" s="77"/>
      <c r="O32" s="77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8.75" customHeight="1" spans="1:26" x14ac:dyDescent="0.25">
      <c r="A33" s="112"/>
      <c r="B33" s="157" t="s">
        <v>113</v>
      </c>
      <c r="C33" s="104"/>
      <c r="D33" s="150"/>
      <c r="E33" s="155"/>
      <c r="F33" s="152"/>
      <c r="G33" s="115"/>
      <c r="H33" s="104"/>
      <c r="I33" s="104"/>
      <c r="J33" s="77"/>
      <c r="K33" s="77"/>
      <c r="L33" s="77"/>
      <c r="M33" s="77"/>
      <c r="N33" s="77"/>
      <c r="O33" s="77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8.75" customHeight="1" spans="1:26" x14ac:dyDescent="0.25">
      <c r="A34" s="112"/>
      <c r="B34" s="116"/>
      <c r="C34" s="104"/>
      <c r="D34" s="150"/>
      <c r="E34" s="155"/>
      <c r="F34" s="152"/>
      <c r="G34" s="115"/>
      <c r="H34" s="104"/>
      <c r="I34" s="104"/>
      <c r="J34" s="77"/>
      <c r="K34" s="77"/>
      <c r="L34" s="77"/>
      <c r="M34" s="77"/>
      <c r="N34" s="77"/>
      <c r="O34" s="77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8.75" customHeight="1" hidden="1" spans="1:26" x14ac:dyDescent="0.25">
      <c r="A35" s="105">
        <f>IF(設定情報!C21="APIなし","",2)</f>
        <v>2</v>
      </c>
      <c r="B35" s="159" t="s">
        <v>114</v>
      </c>
      <c r="C35" s="104"/>
      <c r="D35" s="150"/>
      <c r="E35" s="155"/>
      <c r="F35" s="152"/>
      <c r="G35" s="115"/>
      <c r="H35" s="104"/>
      <c r="I35" s="104"/>
      <c r="J35" s="77"/>
      <c r="K35" s="77"/>
      <c r="L35" s="77"/>
      <c r="M35" s="77"/>
      <c r="N35" s="77"/>
      <c r="O35" s="77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8.75" customHeight="1" spans="1:26" x14ac:dyDescent="0.25">
      <c r="A36" s="112"/>
      <c r="B36" s="109">
        <f>IF(設定情報!C21="オプションなし","",設定情報!C21)</f>
      </c>
      <c r="C36" s="104"/>
      <c r="D36" s="150">
        <f>IF(設定情報!C21="オプションなし","",1)</f>
      </c>
      <c r="E36" s="155">
        <f>IF(設定情報!C21="オプションなし","","set")</f>
      </c>
      <c r="F36" s="152">
        <f>IF(設定情報!C21="オプションなし","",設定情報!C22)</f>
      </c>
      <c r="G36" s="115">
        <f>IF(設定情報!C21="オプションなし","",D36*F36)</f>
      </c>
      <c r="H36" s="104"/>
      <c r="I36" s="160"/>
      <c r="J36" s="76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8.75" customHeight="1" spans="1:26" x14ac:dyDescent="0.25">
      <c r="A37" s="112"/>
      <c r="B37" s="109">
        <f>IF(設定情報!C24="オプションなし","",設定情報!C24)</f>
      </c>
      <c r="C37" s="104"/>
      <c r="D37" s="161">
        <f>IF(設定情報!C24="オプションなし","",1)</f>
      </c>
      <c r="E37" s="162">
        <f>IF(設定情報!C24="オプションなし","","set")</f>
      </c>
      <c r="F37" s="163">
        <f>IF(設定情報!C24="オプションなし","",設定情報!C25)</f>
      </c>
      <c r="G37" s="164">
        <f>IF(設定情報!C24="オプションなし","",D37*F37)</f>
      </c>
      <c r="H37" s="104"/>
      <c r="I37" s="160"/>
      <c r="J37" s="160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8.75" customHeight="1" spans="1:26" x14ac:dyDescent="0.25">
      <c r="A38" s="112"/>
      <c r="B38" s="109"/>
      <c r="C38" s="104"/>
      <c r="D38" s="150"/>
      <c r="E38" s="155"/>
      <c r="F38" s="165" t="s">
        <v>115</v>
      </c>
      <c r="G38" s="166">
        <f>SUM(G19:G37)*-(1-設定情報!C8)</f>
        <v>-1050000</v>
      </c>
      <c r="H38" s="104"/>
      <c r="I38" s="160"/>
      <c r="J38" s="160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8.75" customHeight="1" spans="1:26" x14ac:dyDescent="0.25">
      <c r="A39" s="112"/>
      <c r="B39" s="109"/>
      <c r="C39" s="104"/>
      <c r="D39" s="150"/>
      <c r="E39" s="155"/>
      <c r="F39" s="167">
        <f>1-設定情報!C8</f>
        <v>0.35</v>
      </c>
      <c r="G39" s="115"/>
      <c r="H39" s="104"/>
      <c r="I39" s="160"/>
      <c r="J39" s="160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8.75" customHeight="1" spans="1:26" x14ac:dyDescent="0.25">
      <c r="A40" s="112"/>
      <c r="B40" s="109"/>
      <c r="C40" s="104"/>
      <c r="D40" s="150"/>
      <c r="E40" s="155"/>
      <c r="F40" s="152"/>
      <c r="G40" s="115"/>
      <c r="H40" s="104"/>
      <c r="I40" s="160"/>
      <c r="J40" s="160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8.75" customHeight="1" spans="1:26" x14ac:dyDescent="0.25">
      <c r="A41" s="105">
        <f>IF(OR(設定情報!C26="音声なし",設定情報!C26="IoTなし"),"",3)</f>
      </c>
      <c r="B41" s="159">
        <f>IF(OR(設定情報!C26="音声なし",設定情報!C26="IoTなし"),"","オプションモジュール")</f>
      </c>
      <c r="C41" s="104"/>
      <c r="D41" s="150"/>
      <c r="E41" s="155"/>
      <c r="F41" s="152"/>
      <c r="G41" s="115"/>
      <c r="H41" s="104"/>
      <c r="I41" s="160"/>
      <c r="J41" s="160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8.75" customHeight="1" spans="1:26" x14ac:dyDescent="0.25">
      <c r="A42" s="112"/>
      <c r="B42" s="109">
        <f>IF(OR(設定情報!C26="音声なし",設定情報!C26="IoTなし"),"",IF(設定情報!C26="音声あり","音声入力オプション "&amp;設定情報!C27&amp;"ライセンス",設定情報!C26))</f>
      </c>
      <c r="C42" s="104"/>
      <c r="D42" s="150">
        <f>IF(OR(設定情報!C26="音声なし",設定情報!C26="IoTなし"),"",1)</f>
      </c>
      <c r="E42" s="155">
        <f>IF(OR(設定情報!C26="音声なし",設定情報!C26="IoTなし"),"","式")</f>
      </c>
      <c r="F42" s="152">
        <f>IF(OR(設定情報!C26="音声なし",設定情報!C26="IoTなし"),"",設定情報!C28)</f>
      </c>
      <c r="G42" s="115">
        <f>IF(OR(設定情報!C26="音声なし",設定情報!C26="IoTなし"),"",D42*F42)</f>
      </c>
      <c r="H42" s="104"/>
      <c r="I42" s="160"/>
      <c r="J42" s="160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8.75" customHeight="1" hidden="1" spans="1:26" x14ac:dyDescent="0.25">
      <c r="A43" s="112"/>
      <c r="B43" s="109">
        <f>IF(OR(設定情報!C30="音声なし",設定情報!C30="IoTなし"),"",IF(設定情報!C30="音声あり","音声入力オプション "&amp;設定情報!C31&amp;"ライセンス",設定情報!C30))</f>
      </c>
      <c r="C43" s="104"/>
      <c r="D43" s="150">
        <f>IF(OR(設定情報!C30="音声なし",設定情報!C30="IoTなし"),"",1)</f>
      </c>
      <c r="E43" s="155">
        <f>IF(OR(設定情報!C30="音声なし",設定情報!C30="IoTなし"),"","式")</f>
      </c>
      <c r="F43" s="168">
        <f>IF(OR(設定情報!C30="音声なし",設定情報!C30="IoTなし"),"",設定情報!C32)</f>
      </c>
      <c r="G43" s="115">
        <f>IF(OR(設定情報!C30="音声なし",設定情報!C30="IoTなし"),"",D43*F43)</f>
      </c>
      <c r="H43" s="104"/>
      <c r="I43" s="169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8.75" customHeight="1" hidden="1" spans="1:26" x14ac:dyDescent="0.25">
      <c r="A44" s="105"/>
      <c r="B44" s="159"/>
      <c r="C44" s="104"/>
      <c r="D44" s="170"/>
      <c r="E44" s="171"/>
      <c r="F44" s="165" t="s">
        <v>115</v>
      </c>
      <c r="G44" s="172">
        <f>IF(F42="","",SUM(G42:G43)*-0.2)</f>
      </c>
      <c r="H44" s="104"/>
      <c r="I44" s="173"/>
      <c r="J44" s="17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8.75" customHeight="1" hidden="1" spans="1:26" x14ac:dyDescent="0.25">
      <c r="A45" s="112"/>
      <c r="B45" s="109"/>
      <c r="C45" s="104"/>
      <c r="D45" s="150"/>
      <c r="E45" s="155"/>
      <c r="F45" s="167">
        <f>IF(F42="","","20%")</f>
      </c>
      <c r="G45" s="115"/>
      <c r="H45" s="104"/>
      <c r="I45" s="173"/>
      <c r="J45" s="17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8.75" customHeight="1" spans="1:26" x14ac:dyDescent="0.25">
      <c r="A46" s="105"/>
      <c r="B46" s="157"/>
      <c r="C46" s="104"/>
      <c r="D46" s="150"/>
      <c r="E46" s="155"/>
      <c r="F46" s="152"/>
      <c r="G46" s="115"/>
      <c r="H46" s="104"/>
      <c r="I46" s="174"/>
      <c r="J46" s="17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8.75" customHeight="1" spans="1:26" x14ac:dyDescent="0.25">
      <c r="A47" s="112"/>
      <c r="B47" s="116"/>
      <c r="C47" s="104"/>
      <c r="D47" s="150"/>
      <c r="E47" s="155"/>
      <c r="F47" s="152"/>
      <c r="G47" s="115"/>
      <c r="H47" s="104"/>
      <c r="I47" s="174"/>
      <c r="J47" s="17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8.75" customHeight="1" spans="1:26" x14ac:dyDescent="0.25">
      <c r="A48" s="112"/>
      <c r="B48" s="116"/>
      <c r="C48" s="104"/>
      <c r="D48" s="150"/>
      <c r="E48" s="155"/>
      <c r="F48" s="152"/>
      <c r="G48" s="115"/>
      <c r="H48" s="104"/>
      <c r="I48" s="109"/>
      <c r="J48" s="109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8.75" customHeight="1" spans="1:26" x14ac:dyDescent="0.25">
      <c r="A49" s="112"/>
      <c r="B49" s="116"/>
      <c r="C49" s="104"/>
      <c r="D49" s="150"/>
      <c r="E49" s="155"/>
      <c r="F49" s="152"/>
      <c r="G49" s="115"/>
      <c r="H49" s="104"/>
      <c r="I49" s="104"/>
      <c r="J49" s="104"/>
      <c r="K49" s="104"/>
      <c r="L49" s="175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8.75" customHeight="1" spans="1:26" x14ac:dyDescent="0.25">
      <c r="A50" s="112"/>
      <c r="B50" s="116"/>
      <c r="C50" s="128"/>
      <c r="D50" s="150"/>
      <c r="E50" s="155"/>
      <c r="F50" s="152"/>
      <c r="G50" s="115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29.25" customHeight="1" spans="1:26" x14ac:dyDescent="0.25">
      <c r="A51" s="176" t="s">
        <v>116</v>
      </c>
      <c r="B51" s="177"/>
      <c r="C51" s="177"/>
      <c r="D51" s="177"/>
      <c r="E51" s="177"/>
      <c r="F51" s="178"/>
      <c r="G51" s="179">
        <f>SUM(G19:G50)</f>
        <v>1950000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8.75" customHeight="1" spans="1:26" x14ac:dyDescent="0.25">
      <c r="A52" s="135" t="s">
        <v>94</v>
      </c>
      <c r="B52" s="180"/>
      <c r="C52" s="77"/>
      <c r="D52" s="137"/>
      <c r="E52" s="137"/>
      <c r="F52" s="137"/>
      <c r="G52" s="13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8.75" customHeight="1" spans="1:26" x14ac:dyDescent="0.25">
      <c r="A53" s="77" t="s">
        <v>95</v>
      </c>
      <c r="B53" s="138"/>
      <c r="C53" s="77"/>
      <c r="D53" s="137"/>
      <c r="E53" s="137"/>
      <c r="F53" s="13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8.75" customHeight="1" spans="1:26" x14ac:dyDescent="0.25">
      <c r="A54" s="77" t="str">
        <f>IF(OR(設定情報!C7="Panasonic",設定情報!C7="Dentsu Soken"),"","Please cover the withholding tax at your side and arrange the payment with full amount of invoice.")</f>
        <v>Please cover the withholding tax at your side and arrange the payment with full amount of invoice.</v>
      </c>
      <c r="B54" s="138"/>
      <c r="C54" s="77"/>
      <c r="D54" s="137"/>
      <c r="E54" s="137"/>
      <c r="F54" s="13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8.75" customHeight="1" spans="1:26" x14ac:dyDescent="0.25">
      <c r="A55" s="135"/>
      <c r="B55" s="180"/>
      <c r="C55" s="77"/>
      <c r="D55" s="137"/>
      <c r="E55" s="137"/>
      <c r="F55" s="137"/>
      <c r="G55" s="13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8.75" customHeight="1" spans="1:26" x14ac:dyDescent="0.25">
      <c r="A56" s="135"/>
      <c r="B56" s="180"/>
      <c r="C56" s="77"/>
      <c r="D56" s="137"/>
      <c r="E56" s="137"/>
      <c r="F56" s="137"/>
      <c r="G56" s="13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8.75" customHeight="1" spans="1:26" x14ac:dyDescent="0.25">
      <c r="A57" s="135"/>
      <c r="B57" s="180"/>
      <c r="C57" s="77"/>
      <c r="D57" s="137"/>
      <c r="E57" s="137"/>
      <c r="F57" s="137"/>
      <c r="G57" s="13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8.75" customHeight="1" spans="1:26" x14ac:dyDescent="0.25">
      <c r="A58" s="135"/>
      <c r="B58" s="180"/>
      <c r="C58" s="77"/>
      <c r="D58" s="137"/>
      <c r="E58" s="137"/>
      <c r="F58" s="137"/>
      <c r="G58" s="13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8.75" customHeight="1" spans="1:26" x14ac:dyDescent="0.25">
      <c r="A59" s="135"/>
      <c r="B59" s="77"/>
      <c r="C59" s="77"/>
      <c r="D59" s="77"/>
      <c r="E59" s="181" t="s">
        <v>117</v>
      </c>
      <c r="F59" s="182"/>
      <c r="G59" s="182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8.75" customHeight="1" spans="1:26" x14ac:dyDescent="0.25">
      <c r="A60" s="135"/>
      <c r="B60" s="136"/>
      <c r="C60" s="137"/>
      <c r="D60" s="137"/>
      <c r="E60" s="183" t="s">
        <v>118</v>
      </c>
      <c r="F60" s="76"/>
      <c r="G60" s="76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 spans="1:26" x14ac:dyDescent="0.25">
      <c r="A61" s="77"/>
      <c r="B61" s="136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 spans="1:26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 spans="1:26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 spans="1:26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 spans="1:26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 spans="1:26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 spans="1:26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 spans="1:26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 spans="1:26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 spans="1:26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 spans="1:26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 spans="1:26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 spans="1:26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 spans="1:26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 spans="1:26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 spans="1:26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 spans="1:26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 spans="1:26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 spans="1:26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 spans="1:26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 spans="1:26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 spans="1:26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 spans="1:26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 spans="1:26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 spans="1:26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 spans="1:26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 spans="1:26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 spans="1:26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 spans="1:26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 spans="1:26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 spans="1:26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 spans="1:26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 spans="1:26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 spans="1:26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 spans="1:26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 spans="1:26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 spans="1:26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 spans="1:26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 spans="1:26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 spans="1:26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 spans="1:26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 spans="1:26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 spans="1:26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 spans="1:26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 spans="1:26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 spans="1:26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 spans="1:26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 spans="1:26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 spans="1:26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 spans="1:26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 spans="1:26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 spans="1:26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 spans="1:26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 spans="1:26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 spans="1:26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 spans="1:26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 spans="1:26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 spans="1:26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 spans="1:26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 spans="1:26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 spans="1:26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 spans="1:26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 spans="1:26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 spans="1:26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 spans="1:26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 spans="1:26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 spans="1:26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 spans="1:26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 spans="1:26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 spans="1:26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 spans="1:26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 spans="1:26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 spans="1:26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 spans="1:26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 spans="1:26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 spans="1:26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 spans="1:26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 spans="1:26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 spans="1:26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 spans="1:26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 spans="1:26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 spans="1:26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 spans="1:26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 spans="1:26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 spans="1:26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 spans="1:26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 spans="1:26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 spans="1:26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 spans="1:26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 spans="1:26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 spans="1:26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 spans="1:26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 spans="1:26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 spans="1:26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 spans="1:26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 spans="1:26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 spans="1:26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 spans="1:26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 spans="1:26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 spans="1:26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 spans="1:26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 spans="1:26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 spans="1:26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 spans="1:26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 spans="1:26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 spans="1:26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 spans="1:26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 spans="1:26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 spans="1:26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 spans="1:26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 spans="1:26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 spans="1:26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 spans="1:26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 spans="1:26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 spans="1:26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 spans="1:26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 spans="1:26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 spans="1:26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 spans="1:26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 spans="1:26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 spans="1:26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 spans="1:26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 spans="1:26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 spans="1:26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 spans="1:26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 spans="1:26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 spans="1:26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 spans="1:26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 spans="1:26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 spans="1:26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 spans="1:26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 spans="1:26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 spans="1:26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 spans="1:26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 spans="1:26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 spans="1:26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 spans="1:26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 spans="1:26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 spans="1:26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 spans="1:26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 spans="1:26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 spans="1:26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 spans="1:26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 spans="1:26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 spans="1:26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 spans="1:26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 spans="1:26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 spans="1:26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 spans="1:26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 spans="1:26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 spans="1:26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 spans="1:26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 spans="1:26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 spans="1:26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 spans="1:26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 spans="1:26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 spans="1:26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 spans="1:26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 spans="1:26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 spans="1:26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 spans="1:26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 spans="1:26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 spans="1:26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 spans="1:26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 spans="1:26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 spans="1:26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 spans="1:26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 spans="1:26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 spans="1:26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 spans="1:26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 spans="1:26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 spans="1:26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 spans="1:26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 spans="1:26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 spans="1:26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 spans="1:26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 spans="1:26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 spans="1:26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 spans="1:26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 spans="1:26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 spans="1:26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 spans="1:26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 spans="1:26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 spans="1:26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 spans="1:26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 spans="1:26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 spans="1:26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 spans="1:26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 spans="1:26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 spans="1:26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 spans="1:26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 spans="1:26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 spans="1:26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 spans="1:26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 spans="1:26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 spans="1:26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 spans="1:26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 spans="1:26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 spans="1:26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 spans="1:26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 spans="1:26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 spans="1:26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 spans="1:26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 spans="1:26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 spans="1:26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 spans="1:26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 spans="1:26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 spans="1:26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 spans="1:26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 spans="1:26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 spans="1:26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 spans="1:26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 spans="1:26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 spans="1:26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 spans="1:26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 spans="1:26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 spans="1:26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 spans="1:26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 spans="1:26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 spans="1:26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 spans="1:26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 spans="1:26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 spans="1:26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 spans="1:26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 spans="1:26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 spans="1:26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 spans="1:26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 spans="1:26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 spans="1:26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 spans="1:26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 spans="1:26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 spans="1:26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 spans="1:26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 spans="1:26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 spans="1:26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 spans="1:26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 spans="1:26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 spans="1:26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 spans="1:26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 spans="1:26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 spans="1:26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 spans="1:26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 spans="1:26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 spans="1:26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 spans="1:26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 spans="1:26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 spans="1:26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 spans="1:26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 spans="1:26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 spans="1:26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 spans="1:26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 spans="1:26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 spans="1:26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 spans="1:26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 spans="1:26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 spans="1:26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 spans="1:26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 spans="1:26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 spans="1:26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 spans="1:26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 spans="1:26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 spans="1:26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 spans="1:26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 spans="1:26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 spans="1:26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 spans="1:26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 spans="1:26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 spans="1:26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 spans="1:26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 spans="1:26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 spans="1:26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 spans="1:26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 spans="1:26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 spans="1:26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 spans="1:26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 spans="1:26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 spans="1:26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 spans="1:26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 spans="1:26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 spans="1:26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 spans="1:26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 spans="1:26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 spans="1:26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 spans="1:26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 spans="1:26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 spans="1:26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 spans="1:26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 spans="1:26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 spans="1:26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 spans="1:26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 spans="1:26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 spans="1:26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 spans="1:26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 spans="1:26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 spans="1:26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 spans="1:26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 spans="1:26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 spans="1:26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 spans="1:26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 spans="1:26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 spans="1:26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 spans="1:26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 spans="1:26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 spans="1:26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 spans="1:26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 spans="1:26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 spans="1:26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 spans="1:26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 spans="1:26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 spans="1:26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 spans="1:26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 spans="1:26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 spans="1:26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 spans="1:26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 spans="1:26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 spans="1:26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 spans="1:26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 spans="1:26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 spans="1:26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 spans="1:26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 spans="1:26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 spans="1:26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 spans="1:26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 spans="1:26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 spans="1:26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 spans="1:26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 spans="1:26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 spans="1:26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 spans="1:26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 spans="1:26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 spans="1:26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 spans="1:26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 spans="1:26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 spans="1:26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 spans="1:26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 spans="1:26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 spans="1:26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 spans="1:26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 spans="1:26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 spans="1:26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 spans="1:26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 spans="1:26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 spans="1:26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 spans="1:26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 spans="1:26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 spans="1:26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 spans="1:26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 spans="1:26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 spans="1:26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 spans="1:26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 spans="1:26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 spans="1:26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 spans="1:26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 spans="1:26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 spans="1:26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 spans="1:26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 spans="1:26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 spans="1:26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 spans="1:26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 spans="1:26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 spans="1:26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 spans="1:26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 spans="1:26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 spans="1:26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 spans="1:26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 spans="1:26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 spans="1:26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 spans="1:26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 spans="1:26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 spans="1:26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 spans="1:26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 spans="1:26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 spans="1:26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 spans="1:26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 spans="1:26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 spans="1:26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 spans="1:26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 spans="1:26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 spans="1:26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 spans="1:26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 spans="1:26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 spans="1:26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 spans="1:26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 spans="1:26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 spans="1:26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 spans="1:26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 spans="1:26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 spans="1:26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 spans="1:26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 spans="1:26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 spans="1:26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 spans="1:26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 spans="1:26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 spans="1:26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 spans="1:26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 spans="1:26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 spans="1:26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 spans="1:26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 spans="1:26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 spans="1:26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 spans="1:26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 spans="1:26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 spans="1:26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 spans="1:26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 spans="1:26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 spans="1:26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 spans="1:26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 spans="1:26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 spans="1:26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 spans="1:26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 spans="1:26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 spans="1:26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 spans="1:26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 spans="1:26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 spans="1:26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 spans="1:26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 spans="1:26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 spans="1:26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 spans="1:26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 spans="1:26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 spans="1:26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 spans="1:26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 spans="1:26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 spans="1:26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 spans="1:26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 spans="1:26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 spans="1:26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 spans="1:26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 spans="1:26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 spans="1:26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 spans="1:26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 spans="1:26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 spans="1:26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 spans="1:26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 spans="1:26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 spans="1:26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 spans="1:26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 spans="1:26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 spans="1:26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 spans="1:26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 spans="1:26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 spans="1:26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 spans="1:26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 spans="1:26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 spans="1:26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 spans="1:26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 spans="1:26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 spans="1:26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 spans="1:26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 spans="1:26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 spans="1:26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 spans="1:26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 spans="1:26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 spans="1:26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 spans="1:26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 spans="1:26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 spans="1:26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 spans="1:26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 spans="1:26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 spans="1:26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 spans="1:26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 spans="1:26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 spans="1:26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 spans="1:26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 spans="1:26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 spans="1:26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 spans="1:26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 spans="1:26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 spans="1:26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 spans="1:26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 spans="1:26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 spans="1:26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 spans="1:26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 spans="1:26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 spans="1:26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 spans="1:26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 spans="1:26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 spans="1:26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 spans="1:26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 spans="1:26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 spans="1:26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 spans="1:26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 spans="1:26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 spans="1:26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 spans="1:26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 spans="1:26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 spans="1:26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 spans="1:26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 spans="1:26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 spans="1:26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 spans="1:26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 spans="1:26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 spans="1:26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 spans="1:26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 spans="1:26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 spans="1:26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 spans="1:26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 spans="1:26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 spans="1:26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 spans="1:26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 spans="1:26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 spans="1:26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 spans="1:26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 spans="1:26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 spans="1:26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 spans="1:26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 spans="1:26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 spans="1:26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 spans="1:26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 spans="1:26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 spans="1:26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 spans="1:26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 spans="1:26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 spans="1:26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 spans="1:26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 spans="1:26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 spans="1:26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 spans="1:26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 spans="1:26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 spans="1:26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 spans="1:26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 spans="1:26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 spans="1:26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 spans="1:26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 spans="1:26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 spans="1:26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 spans="1:26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 spans="1:26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 spans="1:26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 spans="1:26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 spans="1:26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 spans="1:26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 spans="1:26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 spans="1:26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 spans="1:26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 spans="1:26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 spans="1:26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 spans="1:26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 spans="1:26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 spans="1:26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 spans="1:26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 spans="1:26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 spans="1:26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 spans="1:26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 spans="1:26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 spans="1:26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 spans="1:26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 spans="1:26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 spans="1:26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 spans="1:26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 spans="1:26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 spans="1:26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 spans="1:26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 spans="1:26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 spans="1:26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 spans="1:26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 spans="1:26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 spans="1:26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 spans="1:26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 spans="1:26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 spans="1:26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 spans="1:26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 spans="1:26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 spans="1:26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 spans="1:26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 spans="1:26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 spans="1:26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 spans="1:26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 spans="1:26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 spans="1:26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 spans="1:26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 spans="1:26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 spans="1:26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 spans="1:26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 spans="1:26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 spans="1:26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 spans="1:26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 spans="1:26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 spans="1:26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 spans="1:26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 spans="1:26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 spans="1:26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 spans="1:26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 spans="1:26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 spans="1:26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 spans="1:26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 spans="1:26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 spans="1:26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 spans="1:26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 spans="1:26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 spans="1:26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 spans="1:26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 spans="1:26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 spans="1:26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 spans="1:26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 spans="1:26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 spans="1:26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 spans="1:26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 spans="1:26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 spans="1:26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 spans="1:26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 spans="1:26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 spans="1:26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 spans="1:26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 spans="1:26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 spans="1:26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 spans="1:26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 spans="1:26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 spans="1:26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 spans="1:26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 spans="1:26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 spans="1:26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 spans="1:26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 spans="1:26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 spans="1:26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 spans="1:26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 spans="1:26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 spans="1:26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 spans="1:26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 spans="1:26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 spans="1:26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 spans="1:26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 spans="1:26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 spans="1:26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 spans="1:26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 spans="1:26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 spans="1:26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 spans="1:26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 spans="1:26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 spans="1:26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 spans="1:26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 spans="1:26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 spans="1:26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 spans="1:26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 spans="1:26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 spans="1:26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 spans="1:26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 spans="1:26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 spans="1:26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 spans="1:26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 spans="1:26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 spans="1:26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 spans="1:26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 spans="1:26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 spans="1:26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 spans="1:26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 spans="1:26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 spans="1:26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 spans="1:26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 spans="1:26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 spans="1:26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 spans="1:26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 spans="1:26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 spans="1:26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 spans="1:26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 spans="1:26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 spans="1:26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 spans="1:26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 spans="1:26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 spans="1:26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 spans="1:26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 spans="1:26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 spans="1:26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 spans="1:26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 spans="1:26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 spans="1:26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 spans="1:26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 spans="1:26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 spans="1:26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 spans="1:26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 spans="1:26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 spans="1:26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 spans="1:26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 spans="1:26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 spans="1:26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 spans="1:26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 spans="1:26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 spans="1:26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 spans="1:26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 spans="1:26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 spans="1:26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 spans="1:26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 spans="1:26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 spans="1:26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 spans="1:26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 spans="1:26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 spans="1:26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 spans="1:26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 spans="1:26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 spans="1:26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 spans="1:26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 spans="1:26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 spans="1:26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 spans="1:26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 spans="1:26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 spans="1:26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 spans="1:26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 spans="1:26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 spans="1:26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 spans="1:26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 spans="1:26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 spans="1:26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 spans="1:26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 spans="1:26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 spans="1:26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 spans="1:26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 spans="1:26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 spans="1:26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 spans="1:26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 spans="1:26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 spans="1:26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 spans="1:26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 spans="1:26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 spans="1:26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 spans="1:26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 spans="1:26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 spans="1:26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 spans="1:26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 spans="1:26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 spans="1:26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 spans="1:26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 spans="1:26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 spans="1:26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 spans="1:26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 spans="1:26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 spans="1:26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 spans="1:26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 spans="1:26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 spans="1:26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 spans="1:26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 spans="1:26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 spans="1:26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 spans="1:26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 spans="1:26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 spans="1:26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 spans="1:26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 spans="1:26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 spans="1:26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 spans="1:26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 spans="1:26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 spans="1:26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 spans="1:26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 spans="1:26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 spans="1:26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 spans="1:26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 spans="1:26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 spans="1:26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 spans="1:26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 spans="1:26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 spans="1:26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 spans="1:26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 spans="1:26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 spans="1:26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 spans="1:26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 spans="1:26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 spans="1:26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 spans="1:26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 spans="1:26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 spans="1:26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 spans="1:26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 spans="1:26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 spans="1:26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 spans="1:26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 spans="1:26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 spans="1:26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 spans="1:26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 spans="1:26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 spans="1:26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 spans="1:26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 spans="1:26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 spans="1:26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 spans="1:26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 spans="1:26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 spans="1:26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 spans="1:26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 spans="1:26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 spans="1:26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 spans="1:26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 spans="1:26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 spans="1:26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 spans="1:26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 spans="1:26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 spans="1:26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 spans="1:26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 spans="1:26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 spans="1:26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 spans="1:26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 spans="1:26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 spans="1:26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 spans="1:26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 spans="1:26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 spans="1:26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 spans="1:26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 spans="1:26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 spans="1:26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 spans="1:26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 spans="1:26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 spans="1:26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 spans="1:26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 spans="1:26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 spans="1:26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 spans="1:26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 spans="1:26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 spans="1:26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 spans="1:26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 spans="1:26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 spans="1:26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 spans="1:26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 spans="1:26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 spans="1:26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 spans="1:26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 spans="1:26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 spans="1:26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 spans="1:26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 spans="1:26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 spans="1:26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 spans="1:26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 spans="1:26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 spans="1:26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 spans="1:26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 spans="1:26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 spans="1:26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 spans="1:26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 spans="1:26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 spans="1:26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 spans="1:26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 spans="1:26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 spans="1:26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 spans="1:26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 spans="1:26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 spans="1:26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 spans="1:26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 spans="1:26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 spans="1:26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 spans="1:26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 spans="1:26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 spans="1:26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 spans="1:26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 spans="1:26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 spans="1:26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 spans="1:26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 spans="1:26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 spans="1:26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 spans="1:26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 spans="1:26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 spans="1:26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 spans="1:26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 spans="1:26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 spans="1:26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 spans="1:26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 spans="1:26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 spans="1:26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 spans="1:26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 spans="1:26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 spans="1:26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 spans="1:26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 spans="1:26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 spans="1:26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 spans="1:26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 spans="1:26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 spans="1:26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 spans="1:26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 spans="1:26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 spans="1:26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 spans="1:26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 spans="1:26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 spans="1:26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 spans="1:26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 spans="1:26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 spans="1:26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 spans="1:26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 spans="1:26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 spans="1:26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 spans="1:26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 spans="1:26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 spans="1:26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 spans="1:26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 spans="1:26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 spans="1:26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 spans="1:26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 spans="1:26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 spans="1:26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 spans="1:26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 spans="1:26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 spans="1:26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 spans="1:26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 spans="1:26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 spans="1:26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 spans="1:26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 spans="1:26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 spans="1:26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 spans="1:26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 spans="1:26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 spans="1:26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 spans="1:26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 spans="1:26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 spans="1:26" x14ac:dyDescent="0.2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 spans="1:26" x14ac:dyDescent="0.2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 spans="1:26" x14ac:dyDescent="0.2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 spans="1:26" x14ac:dyDescent="0.2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 spans="1:26" x14ac:dyDescent="0.2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 spans="1:26" x14ac:dyDescent="0.2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 spans="1:26" x14ac:dyDescent="0.2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 spans="1:26" x14ac:dyDescent="0.2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 spans="1:26" x14ac:dyDescent="0.2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 spans="1:26" x14ac:dyDescent="0.2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 spans="1:26" x14ac:dyDescent="0.2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 spans="1:26" x14ac:dyDescent="0.2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 spans="1:26" x14ac:dyDescent="0.2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 spans="1:26" x14ac:dyDescent="0.2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 spans="1:26" x14ac:dyDescent="0.2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 spans="1:26" x14ac:dyDescent="0.2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 spans="1:26" x14ac:dyDescent="0.2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 spans="1:26" x14ac:dyDescent="0.2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 spans="1:26" x14ac:dyDescent="0.2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 spans="1:26" x14ac:dyDescent="0.2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 spans="1:26" x14ac:dyDescent="0.2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 spans="1:26" x14ac:dyDescent="0.2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 spans="1:26" x14ac:dyDescent="0.2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 spans="1:26" x14ac:dyDescent="0.2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 spans="1:26" x14ac:dyDescent="0.2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 spans="1:26" x14ac:dyDescent="0.2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 spans="1:26" x14ac:dyDescent="0.2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 spans="1:26" x14ac:dyDescent="0.2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 spans="1:26" x14ac:dyDescent="0.2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 spans="1:26" x14ac:dyDescent="0.2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 spans="1:26" x14ac:dyDescent="0.2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 spans="1:26" x14ac:dyDescent="0.2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 spans="1:26" x14ac:dyDescent="0.2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 spans="1:26" x14ac:dyDescent="0.2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 spans="1:26" x14ac:dyDescent="0.2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 spans="1:26" x14ac:dyDescent="0.2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 spans="1:26" x14ac:dyDescent="0.2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 spans="1:26" x14ac:dyDescent="0.2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 spans="1:26" x14ac:dyDescent="0.2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 spans="1:26" x14ac:dyDescent="0.2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 spans="1:26" x14ac:dyDescent="0.2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 spans="1:26" x14ac:dyDescent="0.2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 spans="1:26" x14ac:dyDescent="0.2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 spans="1:26" x14ac:dyDescent="0.2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15.75" customHeight="1" spans="1:26" x14ac:dyDescent="0.25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</sheetData>
  <mergeCells count="16">
    <mergeCell ref="A1:G1"/>
    <mergeCell ref="A2:G2"/>
    <mergeCell ref="E3:G3"/>
    <mergeCell ref="E4:G4"/>
    <mergeCell ref="A6:C6"/>
    <mergeCell ref="A10:C10"/>
    <mergeCell ref="A11:C11"/>
    <mergeCell ref="A12:C12"/>
    <mergeCell ref="A13:C13"/>
    <mergeCell ref="A16:C16"/>
    <mergeCell ref="B20:C20"/>
    <mergeCell ref="B31:C31"/>
    <mergeCell ref="I36:J36"/>
    <mergeCell ref="A51:F51"/>
    <mergeCell ref="E59:G59"/>
    <mergeCell ref="E60:G60"/>
  </mergeCells>
  <printOptions horizontalCentered="1"/>
  <pageMargins left="0.1968503937007874" right="0.1968503937007874" top="0.9055118110236221" bottom="0.984251968503937" header="0" footer="0"/>
  <pageSetup paperSize="9" orientation="portrait" horizontalDpi="4294967295" verticalDpi="4294967295" scale="61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1"/>
  <sheetViews>
    <sheetView workbookViewId="0" showGridLines="0" zoomScale="100" zoomScaleNormal="100"/>
  </sheetViews>
  <sheetFormatPr defaultRowHeight="15" outlineLevelRow="0" outlineLevelCol="0" x14ac:dyDescent="0" defaultColWidth="14.44140625"/>
  <cols>
    <col min="1" max="2" width="8" customWidth="1"/>
    <col min="3" max="3" width="61.33203125" customWidth="1"/>
    <col min="4" max="5" width="6.6640625" customWidth="1"/>
    <col min="6" max="6" width="15.44140625" customWidth="1"/>
    <col min="7" max="7" width="17.44140625" customWidth="1"/>
    <col min="8" max="8" width="10.44140625" customWidth="1"/>
    <col min="9" max="9" width="21.44140625" customWidth="1"/>
  </cols>
  <sheetData>
    <row r="1" ht="30" customHeight="1" spans="1:26" x14ac:dyDescent="0.25">
      <c r="A1" s="75" t="s">
        <v>82</v>
      </c>
      <c r="B1" s="76"/>
      <c r="C1" s="76"/>
      <c r="D1" s="76"/>
      <c r="E1" s="76"/>
      <c r="F1" s="76"/>
      <c r="G1" s="76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30" customHeight="1" spans="1:26" x14ac:dyDescent="0.25">
      <c r="A2" s="78"/>
      <c r="B2" s="76"/>
      <c r="C2" s="76"/>
      <c r="D2" s="76"/>
      <c r="E2" s="76"/>
      <c r="F2" s="76"/>
      <c r="G2" s="76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8" customHeight="1" spans="1:26" x14ac:dyDescent="0.25">
      <c r="A3" s="75"/>
      <c r="B3" s="75"/>
      <c r="C3" s="75"/>
      <c r="D3" s="77"/>
      <c r="E3" s="79">
        <f>表紙!$D$3</f>
        <v>45793</v>
      </c>
      <c r="F3" s="76"/>
      <c r="G3" s="76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8" customHeight="1" spans="1:26" x14ac:dyDescent="0.25">
      <c r="A4" s="77"/>
      <c r="B4" s="77"/>
      <c r="C4" s="77"/>
      <c r="D4" s="77"/>
      <c r="E4" s="80" t="str">
        <f>表紙!D4&amp;"-02"</f>
        <v>Quotation No: S-25-00398-001-02</v>
      </c>
      <c r="F4" s="76"/>
      <c r="G4" s="76"/>
      <c r="H4" s="81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8" customHeight="1" spans="1:26" x14ac:dyDescent="0.25">
      <c r="A5" s="77"/>
      <c r="B5" s="77"/>
      <c r="C5" s="77"/>
      <c r="D5" s="81"/>
      <c r="E5" s="81"/>
      <c r="F5" s="81"/>
      <c r="G5" s="81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28.5" customHeight="1" spans="1:26" x14ac:dyDescent="0.25">
      <c r="A6" s="82" t="str">
        <f>表紙!A6</f>
        <v>To: PT KDDI Indonesia  </v>
      </c>
      <c r="B6" s="76"/>
      <c r="C6" s="76"/>
      <c r="D6" s="76"/>
      <c r="E6" s="77"/>
      <c r="F6" s="77"/>
      <c r="G6" s="83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26.4" customHeight="1" spans="1:26" x14ac:dyDescent="0.25">
      <c r="A7" s="84"/>
      <c r="B7" s="84"/>
      <c r="C7" s="85"/>
      <c r="D7" s="77"/>
      <c r="E7" s="77"/>
      <c r="F7" s="77"/>
      <c r="G7" s="83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26.4" customHeight="1" spans="1:26" x14ac:dyDescent="0.25">
      <c r="A8" s="84"/>
      <c r="B8" s="84"/>
      <c r="C8" s="85"/>
      <c r="D8" s="77"/>
      <c r="E8" s="77"/>
      <c r="F8" s="77"/>
      <c r="G8" s="86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26.4" customHeight="1" spans="1:26" x14ac:dyDescent="0.25">
      <c r="A9" s="84"/>
      <c r="B9" s="84"/>
      <c r="C9" s="85"/>
      <c r="D9" s="77"/>
      <c r="E9" s="77"/>
      <c r="F9" s="77"/>
      <c r="G9" s="8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7.25" customHeight="1" spans="1:26" x14ac:dyDescent="0.25">
      <c r="A10" s="88"/>
      <c r="B10" s="76"/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7.25" customHeight="1" spans="1:26" x14ac:dyDescent="0.25">
      <c r="A11" s="139" t="s">
        <v>92</v>
      </c>
      <c r="B11" s="76"/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7.25" customHeight="1" spans="1:26" x14ac:dyDescent="0.25">
      <c r="A12" s="140" t="str">
        <f>"Term of Payment ： "&amp;設定情報!C12</f>
        <v>Term of Payment ： At the end of next month of delivery date</v>
      </c>
      <c r="B12" s="76"/>
      <c r="C12" s="76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7.25" customHeight="1" spans="1:26" x14ac:dyDescent="0.25">
      <c r="A13" s="140" t="str">
        <f>ライセンス!A13</f>
        <v>Validity　　： End of 2025/8 </v>
      </c>
      <c r="B13" s="76"/>
      <c r="C13" s="76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9.2" customHeight="1" spans="1:26" x14ac:dyDescent="0.25">
      <c r="A14" s="141"/>
      <c r="B14" s="141"/>
      <c r="C14" s="138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7.4" customHeight="1" spans="1:26" x14ac:dyDescent="0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24.75" customHeight="1" spans="1:26" x14ac:dyDescent="0.25">
      <c r="A16" s="142">
        <f>G50</f>
        <v>360000</v>
      </c>
      <c r="B16" s="76"/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5.75" customHeight="1" spans="1:26" x14ac:dyDescent="0.2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25.5" customHeight="1" spans="1:26" x14ac:dyDescent="0.25">
      <c r="A18" s="92" t="s">
        <v>96</v>
      </c>
      <c r="B18" s="93"/>
      <c r="C18" s="93" t="s">
        <v>88</v>
      </c>
      <c r="D18" s="143" t="s">
        <v>97</v>
      </c>
      <c r="E18" s="144" t="s">
        <v>98</v>
      </c>
      <c r="F18" s="143" t="s">
        <v>99</v>
      </c>
      <c r="G18" s="97" t="s">
        <v>100</v>
      </c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ht="21" customHeight="1" spans="1:26" x14ac:dyDescent="0.25">
      <c r="A19" s="105"/>
      <c r="B19" s="145" t="str">
        <f>ライセンス!B19</f>
        <v>For:PT Minda ASEAN Automotive</v>
      </c>
      <c r="C19" s="184"/>
      <c r="D19" s="100"/>
      <c r="E19" s="185"/>
      <c r="F19" s="186"/>
      <c r="G19" s="103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8.75" customHeight="1" spans="1:26" x14ac:dyDescent="0.25">
      <c r="A20" s="105"/>
      <c r="B20" s="187" t="str">
        <f>ライセンス!B20</f>
        <v>　</v>
      </c>
      <c r="C20" s="107"/>
      <c r="D20" s="106"/>
      <c r="E20" s="188"/>
      <c r="F20" s="189"/>
      <c r="G20" s="108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8.75" customHeight="1" spans="1:26" x14ac:dyDescent="0.25">
      <c r="A21" s="112"/>
      <c r="B21" s="106" t="s">
        <v>119</v>
      </c>
      <c r="C21" s="104"/>
      <c r="D21" s="127"/>
      <c r="E21" s="150"/>
      <c r="F21" s="190"/>
      <c r="G21" s="111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8.75" customHeight="1" spans="1:26" x14ac:dyDescent="0.25">
      <c r="A22" s="112"/>
      <c r="B22" s="135" t="s">
        <v>120</v>
      </c>
      <c r="C22" s="104"/>
      <c r="D22" s="127"/>
      <c r="E22" s="150"/>
      <c r="F22" s="190"/>
      <c r="G22" s="111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8.75" customHeight="1" spans="1:26" x14ac:dyDescent="0.25">
      <c r="A23" s="105"/>
      <c r="B23" s="180" t="s">
        <v>121</v>
      </c>
      <c r="C23" s="104"/>
      <c r="D23" s="127"/>
      <c r="E23" s="150"/>
      <c r="F23" s="152"/>
      <c r="G23" s="115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8.75" customHeight="1" spans="1:26" x14ac:dyDescent="0.25">
      <c r="A24" s="105"/>
      <c r="B24" s="180" t="s">
        <v>122</v>
      </c>
      <c r="C24" s="104"/>
      <c r="D24" s="150"/>
      <c r="E24" s="151"/>
      <c r="F24" s="152"/>
      <c r="G24" s="115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8.75" customHeight="1" spans="1:26" x14ac:dyDescent="0.25">
      <c r="A25" s="105"/>
      <c r="B25" s="180" t="s">
        <v>123</v>
      </c>
      <c r="C25" s="104"/>
      <c r="D25" s="150"/>
      <c r="E25" s="151"/>
      <c r="F25" s="152"/>
      <c r="G25" s="115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8.75" customHeight="1" spans="1:26" x14ac:dyDescent="0.25">
      <c r="A26" s="105"/>
      <c r="B26" s="151"/>
      <c r="C26" s="104"/>
      <c r="D26" s="150"/>
      <c r="E26" s="155"/>
      <c r="F26" s="152"/>
      <c r="G26" s="115"/>
      <c r="H26" s="104"/>
      <c r="I26" s="191"/>
      <c r="J26" s="191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8.75" customHeight="1" spans="1:26" x14ac:dyDescent="0.25">
      <c r="A27" s="112"/>
      <c r="B27" s="116"/>
      <c r="C27" s="104"/>
      <c r="D27" s="150"/>
      <c r="E27" s="155"/>
      <c r="F27" s="152"/>
      <c r="G27" s="115"/>
      <c r="H27" s="104"/>
      <c r="I27" s="192"/>
      <c r="J27" s="192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8.75" customHeight="1" spans="1:26" x14ac:dyDescent="0.25">
      <c r="A28" s="112"/>
      <c r="B28" s="116"/>
      <c r="C28" s="104"/>
      <c r="D28" s="150"/>
      <c r="E28" s="155"/>
      <c r="F28" s="152"/>
      <c r="G28" s="115"/>
      <c r="H28" s="104"/>
      <c r="I28" s="104"/>
      <c r="J28" s="104"/>
      <c r="K28" s="104"/>
      <c r="L28" s="193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8.75" customHeight="1" spans="1:26" x14ac:dyDescent="0.25">
      <c r="A29" s="105"/>
      <c r="B29" s="180"/>
      <c r="C29" s="104"/>
      <c r="D29" s="150"/>
      <c r="E29" s="151"/>
      <c r="F29" s="152"/>
      <c r="G29" s="115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8.75" customHeight="1" spans="1:26" x14ac:dyDescent="0.25">
      <c r="A30" s="105"/>
      <c r="B30" s="180"/>
      <c r="C30" s="104"/>
      <c r="D30" s="150"/>
      <c r="E30" s="151"/>
      <c r="F30" s="152"/>
      <c r="G30" s="115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8.75" customHeight="1" spans="1:26" x14ac:dyDescent="0.25">
      <c r="A31" s="105"/>
      <c r="B31" s="104"/>
      <c r="C31" s="104"/>
      <c r="D31" s="150"/>
      <c r="E31" s="151"/>
      <c r="F31" s="152"/>
      <c r="G31" s="115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8.75" customHeight="1" spans="1:26" x14ac:dyDescent="0.25">
      <c r="A32" s="105">
        <v>1</v>
      </c>
      <c r="B32" s="104" t="str">
        <f>ライセンス!B21</f>
        <v>Basic Package</v>
      </c>
      <c r="C32" s="104"/>
      <c r="D32" s="150">
        <v>1</v>
      </c>
      <c r="E32" s="151" t="s">
        <v>124</v>
      </c>
      <c r="F32" s="152">
        <f>設定情報!C20</f>
        <v>450000</v>
      </c>
      <c r="G32" s="115">
        <f>D32*F32</f>
        <v>450000</v>
      </c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8.75" customHeight="1" spans="1:26" x14ac:dyDescent="0.25">
      <c r="A33" s="105"/>
      <c r="B33" s="135" t="str">
        <f>ライセンス!B22</f>
        <v>i-Reporter On-premise License Version</v>
      </c>
      <c r="C33" s="104"/>
      <c r="D33" s="150"/>
      <c r="E33" s="151"/>
      <c r="F33" s="152"/>
      <c r="G33" s="115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8.75" customHeight="1" spans="1:26" x14ac:dyDescent="0.25">
      <c r="A34" s="105"/>
      <c r="B34" s="104" t="str">
        <f>ライセンス!B23</f>
        <v>　　　　100 user license（＝number of registration ID）</v>
      </c>
      <c r="C34" s="104"/>
      <c r="D34" s="150"/>
      <c r="E34" s="155"/>
      <c r="F34" s="148"/>
      <c r="G34" s="111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8.75" customHeight="1" spans="1:26" x14ac:dyDescent="0.25">
      <c r="A35" s="105"/>
      <c r="B35" s="104"/>
      <c r="C35" s="104"/>
      <c r="D35" s="150"/>
      <c r="E35" s="155"/>
      <c r="F35" s="148"/>
      <c r="G35" s="111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8.75" customHeight="1" spans="1:26" x14ac:dyDescent="0.25">
      <c r="A36" s="105">
        <f>IF(設定情報!C21="APIなし","",2)</f>
        <v>2</v>
      </c>
      <c r="B36" s="104" t="str">
        <f>IF(設定情報!C21="APIなし","","Option Module")</f>
        <v>Option Module</v>
      </c>
      <c r="C36" s="104"/>
      <c r="D36" s="150"/>
      <c r="E36" s="155"/>
      <c r="F36" s="148"/>
      <c r="G36" s="111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8.75" customHeight="1" spans="1:26" x14ac:dyDescent="0.25">
      <c r="A37" s="105"/>
      <c r="B37" s="104" t="str">
        <f>IF(設定情報!C21="APIなし","","Web API Module Set (for external system coordination)")</f>
        <v>Web API Module Set (for external system coordination)</v>
      </c>
      <c r="C37" s="104"/>
      <c r="D37" s="150">
        <f>IF(設定情報!C21="オプションなし","",1)</f>
      </c>
      <c r="E37" s="151">
        <f>IF(設定情報!C21="オプションなし","","set")</f>
      </c>
      <c r="F37" s="152">
        <f>IF(設定情報!C21="オプションなし","",設定情報!C23)</f>
      </c>
      <c r="G37" s="115">
        <f>IF(設定情報!C21="オプションなし","",D37*F37)</f>
      </c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8.75" customHeight="1" spans="1:26" x14ac:dyDescent="0.25">
      <c r="A38" s="105"/>
      <c r="B38" s="104">
        <f>ライセンス!B37</f>
      </c>
      <c r="C38" s="104"/>
      <c r="D38" s="161">
        <f>ライセンス!D37</f>
      </c>
      <c r="E38" s="161">
        <f>ライセンス!E37</f>
      </c>
      <c r="F38" s="163">
        <f>IF(設定情報!C24="オプションなし","",設定情報!C25*0.15)</f>
      </c>
      <c r="G38" s="164">
        <f>IF(設定情報!C24="オプションなし","",D38*F38)</f>
      </c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8.75" customHeight="1" spans="1:26" x14ac:dyDescent="0.25">
      <c r="A39" s="105"/>
      <c r="B39" s="104"/>
      <c r="C39" s="104"/>
      <c r="D39" s="150"/>
      <c r="E39" s="155"/>
      <c r="F39" s="165" t="s">
        <v>115</v>
      </c>
      <c r="G39" s="166">
        <f>SUM(G20:G38)*-(1-設定情報!C9)</f>
        <v>-89999.99999999999</v>
      </c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8.75" customHeight="1" spans="1:26" x14ac:dyDescent="0.25">
      <c r="A40" s="105"/>
      <c r="B40" s="104"/>
      <c r="C40" s="104"/>
      <c r="D40" s="150"/>
      <c r="E40" s="155"/>
      <c r="F40" s="167">
        <f>1-設定情報!C9</f>
        <v>0.19999999999999996</v>
      </c>
      <c r="G40" s="115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8.75" customHeight="1" spans="1:26" x14ac:dyDescent="0.25">
      <c r="A41" s="105"/>
      <c r="B41" s="104"/>
      <c r="C41" s="104"/>
      <c r="D41" s="150"/>
      <c r="E41" s="151"/>
      <c r="F41" s="152"/>
      <c r="G41" s="115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8.75" customHeight="1" spans="1:26" x14ac:dyDescent="0.25">
      <c r="A42" s="112"/>
      <c r="B42" s="116"/>
      <c r="C42" s="104"/>
      <c r="D42" s="150"/>
      <c r="E42" s="155"/>
      <c r="F42" s="152"/>
      <c r="G42" s="115"/>
      <c r="H42" s="104"/>
      <c r="I42" s="194"/>
      <c r="J42" s="195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8.75" customHeight="1" spans="1:26" x14ac:dyDescent="0.25">
      <c r="A43" s="105">
        <f>ライセンス!A41</f>
      </c>
      <c r="B43" s="159">
        <f>ライセンス!B41</f>
      </c>
      <c r="C43" s="104"/>
      <c r="D43" s="150"/>
      <c r="E43" s="155"/>
      <c r="F43" s="152"/>
      <c r="G43" s="115"/>
      <c r="H43" s="104"/>
      <c r="I43" s="194"/>
      <c r="J43" s="19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8.75" customHeight="1" spans="1:26" x14ac:dyDescent="0.25">
      <c r="A44" s="112"/>
      <c r="B44" s="109">
        <f>ライセンス!B42</f>
      </c>
      <c r="C44" s="104"/>
      <c r="D44" s="150">
        <f>ライセンス!D42</f>
      </c>
      <c r="E44" s="150">
        <f>ライセンス!E42</f>
      </c>
      <c r="F44" s="152">
        <f>IF($B44="","",ライセンス!F42*0.15)</f>
      </c>
      <c r="G44" s="196">
        <f t="shared" ref="G44:G47" si="0">IF($B44="","",D44*F44)</f>
      </c>
      <c r="H44" s="104"/>
      <c r="I44" s="194"/>
      <c r="J44" s="19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8.75" customHeight="1" spans="1:26" x14ac:dyDescent="0.25">
      <c r="A45" s="112"/>
      <c r="B45" s="180">
        <f>ライセンス!B43</f>
      </c>
      <c r="C45" s="104"/>
      <c r="D45" s="150">
        <f>ライセンス!D43</f>
      </c>
      <c r="E45" s="150">
        <f>ライセンス!E43</f>
      </c>
      <c r="F45" s="152">
        <f>IF($B45="","",ライセンス!F43*0.15)</f>
      </c>
      <c r="G45" s="196">
        <f t="shared" si="0"/>
      </c>
      <c r="H45" s="104"/>
      <c r="I45" s="197"/>
      <c r="J45" s="198"/>
      <c r="K45" s="198"/>
      <c r="L45" s="198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8.75" customHeight="1" spans="1:26" x14ac:dyDescent="0.25">
      <c r="A46" s="112"/>
      <c r="B46" s="116"/>
      <c r="C46" s="104"/>
      <c r="D46" s="150"/>
      <c r="E46" s="150"/>
      <c r="F46" s="152">
        <f>IF($B46="","",ライセンス!F44*0.15)</f>
      </c>
      <c r="G46" s="196">
        <f t="shared" si="0"/>
      </c>
      <c r="H46" s="104"/>
      <c r="I46" s="199"/>
      <c r="J46" s="191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8.75" customHeight="1" spans="1:26" x14ac:dyDescent="0.25">
      <c r="A47" s="112"/>
      <c r="B47" s="116"/>
      <c r="C47" s="128"/>
      <c r="D47" s="150"/>
      <c r="E47" s="150"/>
      <c r="F47" s="152">
        <f>IF($B47="","",ライセンス!F45*0.15)</f>
      </c>
      <c r="G47" s="196">
        <f t="shared" si="0"/>
      </c>
      <c r="H47" s="104"/>
      <c r="I47" s="199"/>
      <c r="J47" s="191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8.75" customHeight="1" spans="1:26" x14ac:dyDescent="0.25">
      <c r="A48" s="112"/>
      <c r="B48" s="116"/>
      <c r="C48" s="128"/>
      <c r="D48" s="150"/>
      <c r="E48" s="155"/>
      <c r="F48" s="152"/>
      <c r="G48" s="115"/>
      <c r="H48" s="104"/>
      <c r="I48" s="191"/>
      <c r="J48" s="191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8.75" customHeight="1" spans="1:26" x14ac:dyDescent="0.25">
      <c r="A49" s="112"/>
      <c r="B49" s="116"/>
      <c r="C49" s="128"/>
      <c r="D49" s="150"/>
      <c r="E49" s="155"/>
      <c r="F49" s="152"/>
      <c r="G49" s="115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24" customHeight="1" spans="1:26" x14ac:dyDescent="0.25">
      <c r="A50" s="176" t="s">
        <v>125</v>
      </c>
      <c r="B50" s="177"/>
      <c r="C50" s="177"/>
      <c r="D50" s="177"/>
      <c r="E50" s="177"/>
      <c r="F50" s="178"/>
      <c r="G50" s="179">
        <f>SUM(G18:G49)</f>
        <v>360000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8.75" customHeight="1" spans="1:26" x14ac:dyDescent="0.25">
      <c r="A51" s="135" t="s">
        <v>94</v>
      </c>
      <c r="B51" s="136"/>
      <c r="C51" s="137"/>
      <c r="D51" s="137"/>
      <c r="E51" s="137"/>
      <c r="F51" s="137"/>
      <c r="G51" s="13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8.75" customHeight="1" spans="1:26" x14ac:dyDescent="0.25">
      <c r="A52" s="77" t="s">
        <v>95</v>
      </c>
      <c r="B52" s="138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8.75" customHeight="1" spans="1:26" x14ac:dyDescent="0.25">
      <c r="A53" s="77" t="str">
        <f>IF(OR(設定情報!C7="Panasonic",設定情報!C7="Dentsu Soken"),"","Please cover the withholding tax at your side and arrange the payment with full amount of invoice.")</f>
        <v>Please cover the withholding tax at your side and arrange the payment with full amount of invoice.</v>
      </c>
      <c r="B53" s="138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 spans="1:26" x14ac:dyDescent="0.2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 spans="1:26" x14ac:dyDescent="0.2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 spans="1:26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 spans="1:26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 spans="1:26" x14ac:dyDescent="0.25">
      <c r="A58" s="77"/>
      <c r="B58" s="77"/>
      <c r="C58" s="77"/>
      <c r="D58" s="77"/>
      <c r="E58" s="181" t="s">
        <v>117</v>
      </c>
      <c r="F58" s="182"/>
      <c r="G58" s="182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 spans="1:26" x14ac:dyDescent="0.25">
      <c r="A59" s="77"/>
      <c r="B59" s="77"/>
      <c r="C59" s="77"/>
      <c r="D59" s="77"/>
      <c r="E59" s="183" t="s">
        <v>118</v>
      </c>
      <c r="F59" s="76"/>
      <c r="G59" s="76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 spans="1:26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 spans="1:26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 spans="1:26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 spans="1:26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 spans="1:26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 spans="1:26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 spans="1:26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 spans="1:26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 spans="1:26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 spans="1:26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 spans="1:26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 spans="1:26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 spans="1:26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 spans="1:26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 spans="1:26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 spans="1:26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 spans="1:26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 spans="1:26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 spans="1:26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 spans="1:26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 spans="1:26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 spans="1:26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 spans="1:26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 spans="1:26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 spans="1:26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 spans="1:26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 spans="1:26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 spans="1:26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 spans="1:26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 spans="1:26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 spans="1:26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 spans="1:26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 spans="1:26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 spans="1:26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 spans="1:26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 spans="1:26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 spans="1:26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 spans="1:26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 spans="1:26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 spans="1:26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 spans="1:26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 spans="1:26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 spans="1:26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 spans="1:26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 spans="1:26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 spans="1:26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 spans="1:26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 spans="1:26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 spans="1:26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 spans="1:26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 spans="1:26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 spans="1:26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 spans="1:26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 spans="1:26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 spans="1:26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 spans="1:26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 spans="1:26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 spans="1:26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 spans="1:26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 spans="1:26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 spans="1:26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 spans="1:26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 spans="1:26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 spans="1:26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 spans="1:26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 spans="1:26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 spans="1:26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 spans="1:26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 spans="1:26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 spans="1:26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 spans="1:26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 spans="1:26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 spans="1:26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 spans="1:26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 spans="1:26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 spans="1:26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 spans="1:26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 spans="1:26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 spans="1:26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 spans="1:26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 spans="1:26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 spans="1:26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 spans="1:26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 spans="1:26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 spans="1:26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 spans="1:26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 spans="1:26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 spans="1:26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 spans="1:26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 spans="1:26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 spans="1:26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 spans="1:26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 spans="1:26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 spans="1:26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 spans="1:26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 spans="1:26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 spans="1:26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 spans="1:26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 spans="1:26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 spans="1:26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 spans="1:26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 spans="1:26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 spans="1:26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 spans="1:26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 spans="1:26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 spans="1:26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 spans="1:26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 spans="1:26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 spans="1:26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 spans="1:26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 spans="1:26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 spans="1:26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 spans="1:26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 spans="1:26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 spans="1:26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 spans="1:26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 spans="1:26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 spans="1:26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 spans="1:26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 spans="1:26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 spans="1:26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 spans="1:26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 spans="1:26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 spans="1:26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 spans="1:26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 spans="1:26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 spans="1:26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 spans="1:26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 spans="1:26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 spans="1:26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 spans="1:26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 spans="1:26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 spans="1:26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 spans="1:26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 spans="1:26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 spans="1:26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 spans="1:26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 spans="1:26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 spans="1:26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 spans="1:26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 spans="1:26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 spans="1:26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 spans="1:26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 spans="1:26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 spans="1:26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 spans="1:26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 spans="1:26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 spans="1:26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 spans="1:26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 spans="1:26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 spans="1:26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 spans="1:26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 spans="1:26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 spans="1:26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 spans="1:26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 spans="1:26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 spans="1:26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 spans="1:26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 spans="1:26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 spans="1:26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 spans="1:26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 spans="1:26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 spans="1:26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 spans="1:26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 spans="1:26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 spans="1:26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 spans="1:26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 spans="1:26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 spans="1:26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 spans="1:26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 spans="1:26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 spans="1:26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 spans="1:26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 spans="1:26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 spans="1:26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 spans="1:26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 spans="1:26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 spans="1:26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 spans="1:26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 spans="1:26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 spans="1:26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 spans="1:26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 spans="1:26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 spans="1:26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 spans="1:26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 spans="1:26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 spans="1:26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 spans="1:26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 spans="1:26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 spans="1:26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 spans="1:26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 spans="1:26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 spans="1:26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 spans="1:26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 spans="1:26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 spans="1:26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 spans="1:26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 spans="1:26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 spans="1:26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 spans="1:26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 spans="1:26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 spans="1:26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 spans="1:26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 spans="1:26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 spans="1:26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 spans="1:26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 spans="1:26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 spans="1:26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 spans="1:26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 spans="1:26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 spans="1:26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 spans="1:26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 spans="1:26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 spans="1:26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 spans="1:26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 spans="1:26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 spans="1:26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 spans="1:26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 spans="1:26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 spans="1:26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 spans="1:26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 spans="1:26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 spans="1:26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 spans="1:26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 spans="1:26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 spans="1:26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 spans="1:26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 spans="1:26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 spans="1:26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 spans="1:26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 spans="1:26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 spans="1:26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 spans="1:26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 spans="1:26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 spans="1:26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 spans="1:26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 spans="1:26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 spans="1:26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 spans="1:26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 spans="1:26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 spans="1:26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 spans="1:26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 spans="1:26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 spans="1:26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 spans="1:26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 spans="1:26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 spans="1:26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 spans="1:26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 spans="1:26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 spans="1:26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 spans="1:26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 spans="1:26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 spans="1:26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 spans="1:26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 spans="1:26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 spans="1:26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 spans="1:26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 spans="1:26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 spans="1:26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 spans="1:26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 spans="1:26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 spans="1:26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 spans="1:26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 spans="1:26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 spans="1:26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 spans="1:26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 spans="1:26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 spans="1:26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 spans="1:26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 spans="1:26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 spans="1:26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 spans="1:26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 spans="1:26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 spans="1:26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 spans="1:26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 spans="1:26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 spans="1:26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 spans="1:26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 spans="1:26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 spans="1:26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 spans="1:26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 spans="1:26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 spans="1:26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 spans="1:26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 spans="1:26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 spans="1:26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 spans="1:26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 spans="1:26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 spans="1:26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 spans="1:26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 spans="1:26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 spans="1:26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 spans="1:26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 spans="1:26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 spans="1:26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 spans="1:26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 spans="1:26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 spans="1:26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 spans="1:26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 spans="1:26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 spans="1:26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 spans="1:26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 spans="1:26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 spans="1:26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 spans="1:26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 spans="1:26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 spans="1:26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 spans="1:26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 spans="1:26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 spans="1:26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 spans="1:26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 spans="1:26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 spans="1:26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 spans="1:26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 spans="1:26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 spans="1:26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 spans="1:26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 spans="1:26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 spans="1:26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 spans="1:26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 spans="1:26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 spans="1:26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 spans="1:26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 spans="1:26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 spans="1:26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 spans="1:26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 spans="1:26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 spans="1:26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 spans="1:26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 spans="1:26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 spans="1:26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 spans="1:26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 spans="1:26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 spans="1:26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 spans="1:26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 spans="1:26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 spans="1:26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 spans="1:26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 spans="1:26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 spans="1:26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 spans="1:26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 spans="1:26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 spans="1:26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 spans="1:26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 spans="1:26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 spans="1:26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 spans="1:26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 spans="1:26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 spans="1:26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 spans="1:26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 spans="1:26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 spans="1:26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 spans="1:26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 spans="1:26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 spans="1:26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 spans="1:26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 spans="1:26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 spans="1:26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 spans="1:26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 spans="1:26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 spans="1:26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 spans="1:26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 spans="1:26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 spans="1:26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 spans="1:26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 spans="1:26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 spans="1:26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 spans="1:26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 spans="1:26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 spans="1:26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 spans="1:26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 spans="1:26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 spans="1:26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 spans="1:26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 spans="1:26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 spans="1:26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 spans="1:26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 spans="1:26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 spans="1:26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 spans="1:26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 spans="1:26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 spans="1:26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 spans="1:26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 spans="1:26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 spans="1:26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 spans="1:26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 spans="1:26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 spans="1:26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 spans="1:26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 spans="1:26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 spans="1:26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 spans="1:26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 spans="1:26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 spans="1:26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 spans="1:26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 spans="1:26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 spans="1:26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 spans="1:26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 spans="1:26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 spans="1:26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 spans="1:26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 spans="1:26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 spans="1:26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 spans="1:26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 spans="1:26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 spans="1:26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 spans="1:26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 spans="1:26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 spans="1:26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 spans="1:26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 spans="1:26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 spans="1:26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 spans="1:26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 spans="1:26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 spans="1:26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 spans="1:26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 spans="1:26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 spans="1:26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 spans="1:26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 spans="1:26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 spans="1:26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 spans="1:26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 spans="1:26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 spans="1:26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 spans="1:26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 spans="1:26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 spans="1:26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 spans="1:26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 spans="1:26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 spans="1:26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 spans="1:26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 spans="1:26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 spans="1:26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 spans="1:26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 spans="1:26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 spans="1:26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 spans="1:26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 spans="1:26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 spans="1:26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 spans="1:26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 spans="1:26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 spans="1:26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 spans="1:26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 spans="1:26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 spans="1:26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 spans="1:26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 spans="1:26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 spans="1:26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 spans="1:26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 spans="1:26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 spans="1:26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 spans="1:26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 spans="1:26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 spans="1:26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 spans="1:26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 spans="1:26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 spans="1:26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 spans="1:26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 spans="1:26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 spans="1:26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 spans="1:26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 spans="1:26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 spans="1:26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 spans="1:26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 spans="1:26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 spans="1:26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 spans="1:26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 spans="1:26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 spans="1:26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 spans="1:26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 spans="1:26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 spans="1:26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 spans="1:26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 spans="1:26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 spans="1:26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 spans="1:26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 spans="1:26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 spans="1:26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 spans="1:26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 spans="1:26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 spans="1:26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 spans="1:26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 spans="1:26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 spans="1:26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 spans="1:26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 spans="1:26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 spans="1:26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 spans="1:26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 spans="1:26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 spans="1:26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 spans="1:26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 spans="1:26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 spans="1:26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 spans="1:26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 spans="1:26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 spans="1:26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 spans="1:26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 spans="1:26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 spans="1:26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 spans="1:26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 spans="1:26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 spans="1:26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 spans="1:26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 spans="1:26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 spans="1:26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 spans="1:26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 spans="1:26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 spans="1:26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 spans="1:26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 spans="1:26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 spans="1:26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 spans="1:26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 spans="1:26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 spans="1:26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 spans="1:26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 spans="1:26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 spans="1:26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 spans="1:26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 spans="1:26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 spans="1:26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 spans="1:26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 spans="1:26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 spans="1:26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 spans="1:26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 spans="1:26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 spans="1:26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 spans="1:26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 spans="1:26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 spans="1:26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 spans="1:26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 spans="1:26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 spans="1:26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 spans="1:26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 spans="1:26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 spans="1:26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 spans="1:26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 spans="1:26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 spans="1:26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 spans="1:26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 spans="1:26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 spans="1:26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 spans="1:26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 spans="1:26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 spans="1:26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 spans="1:26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 spans="1:26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 spans="1:26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 spans="1:26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 spans="1:26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 spans="1:26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 spans="1:26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 spans="1:26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 spans="1:26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 spans="1:26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 spans="1:26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 spans="1:26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 spans="1:26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 spans="1:26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 spans="1:26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 spans="1:26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 spans="1:26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 spans="1:26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 spans="1:26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 spans="1:26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 spans="1:26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 spans="1:26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 spans="1:26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 spans="1:26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 spans="1:26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 spans="1:26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 spans="1:26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 spans="1:26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 spans="1:26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 spans="1:26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 spans="1:26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 spans="1:26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 spans="1:26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 spans="1:26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 spans="1:26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 spans="1:26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 spans="1:26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 spans="1:26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 spans="1:26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 spans="1:26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 spans="1:26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 spans="1:26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 spans="1:26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 spans="1:26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 spans="1:26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 spans="1:26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 spans="1:26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 spans="1:26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 spans="1:26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 spans="1:26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 spans="1:26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 spans="1:26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 spans="1:26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 spans="1:26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 spans="1:26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 spans="1:26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 spans="1:26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 spans="1:26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 spans="1:26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 spans="1:26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 spans="1:26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 spans="1:26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 spans="1:26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 spans="1:26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 spans="1:26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 spans="1:26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 spans="1:26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 spans="1:26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 spans="1:26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 spans="1:26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 spans="1:26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 spans="1:26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 spans="1:26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 spans="1:26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 spans="1:26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 spans="1:26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 spans="1:26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 spans="1:26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 spans="1:26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 spans="1:26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 spans="1:26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 spans="1:26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 spans="1:26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 spans="1:26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 spans="1:26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 spans="1:26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 spans="1:26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 spans="1:26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 spans="1:26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 spans="1:26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 spans="1:26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 spans="1:26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 spans="1:26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 spans="1:26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 spans="1:26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 spans="1:26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 spans="1:26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 spans="1:26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 spans="1:26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 spans="1:26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 spans="1:26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 spans="1:26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 spans="1:26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 spans="1:26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 spans="1:26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 spans="1:26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 spans="1:26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 spans="1:26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 spans="1:26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 spans="1:26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 spans="1:26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 spans="1:26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 spans="1:26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 spans="1:26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 spans="1:26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 spans="1:26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 spans="1:26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 spans="1:26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 spans="1:26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 spans="1:26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 spans="1:26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 spans="1:26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 spans="1:26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 spans="1:26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 spans="1:26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 spans="1:26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 spans="1:26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 spans="1:26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 spans="1:26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 spans="1:26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 spans="1:26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 spans="1:26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 spans="1:26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 spans="1:26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 spans="1:26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 spans="1:26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 spans="1:26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 spans="1:26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 spans="1:26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 spans="1:26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 spans="1:26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 spans="1:26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 spans="1:26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 spans="1:26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 spans="1:26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 spans="1:26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 spans="1:26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 spans="1:26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 spans="1:26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 spans="1:26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 spans="1:26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 spans="1:26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 spans="1:26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 spans="1:26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 spans="1:26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 spans="1:26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 spans="1:26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 spans="1:26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 spans="1:26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 spans="1:26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 spans="1:26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 spans="1:26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 spans="1:26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 spans="1:26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 spans="1:26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 spans="1:26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 spans="1:26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 spans="1:26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 spans="1:26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 spans="1:26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 spans="1:26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 spans="1:26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 spans="1:26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 spans="1:26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 spans="1:26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 spans="1:26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 spans="1:26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 spans="1:26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 spans="1:26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 spans="1:26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 spans="1:26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 spans="1:26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 spans="1:26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 spans="1:26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 spans="1:26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 spans="1:26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 spans="1:26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 spans="1:26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 spans="1:26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 spans="1:26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 spans="1:26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 spans="1:26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 spans="1:26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 spans="1:26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 spans="1:26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 spans="1:26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 spans="1:26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 spans="1:26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 spans="1:26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 spans="1:26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 spans="1:26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 spans="1:26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 spans="1:26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 spans="1:26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 spans="1:26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 spans="1:26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 spans="1:26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 spans="1:26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 spans="1:26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 spans="1:26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 spans="1:26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 spans="1:26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 spans="1:26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 spans="1:26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 spans="1:26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 spans="1:26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 spans="1:26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 spans="1:26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 spans="1:26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 spans="1:26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 spans="1:26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 spans="1:26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 spans="1:26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 spans="1:26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 spans="1:26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 spans="1:26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 spans="1:26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 spans="1:26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 spans="1:26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 spans="1:26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 spans="1:26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 spans="1:26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 spans="1:26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 spans="1:26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 spans="1:26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 spans="1:26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 spans="1:26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 spans="1:26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 spans="1:26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 spans="1:26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 spans="1:26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 spans="1:26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 spans="1:26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 spans="1:26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 spans="1:26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 spans="1:26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 spans="1:26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 spans="1:26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 spans="1:26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 spans="1:26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 spans="1:26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 spans="1:26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 spans="1:26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 spans="1:26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 spans="1:26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 spans="1:26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 spans="1:26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 spans="1:26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 spans="1:26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 spans="1:26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 spans="1:26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 spans="1:26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 spans="1:26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 spans="1:26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 spans="1:26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 spans="1:26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 spans="1:26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 spans="1:26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 spans="1:26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 spans="1:26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 spans="1:26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 spans="1:26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 spans="1:26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 spans="1:26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 spans="1:26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 spans="1:26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 spans="1:26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 spans="1:26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 spans="1:26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 spans="1:26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 spans="1:26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 spans="1:26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 spans="1:26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 spans="1:26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 spans="1:26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 spans="1:26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 spans="1:26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 spans="1:26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 spans="1:26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 spans="1:26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 spans="1:26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 spans="1:26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 spans="1:26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 spans="1:26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 spans="1:26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 spans="1:26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 spans="1:26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 spans="1:26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 spans="1:26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 spans="1:26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 spans="1:26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 spans="1:26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 spans="1:26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 spans="1:26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 spans="1:26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 spans="1:26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 spans="1:26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 spans="1:26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 spans="1:26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 spans="1:26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 spans="1:26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 spans="1:26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 spans="1:26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 spans="1:26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 spans="1:26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 spans="1:26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 spans="1:26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 spans="1:26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 spans="1:26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 spans="1:26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 spans="1:26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 spans="1:26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 spans="1:26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 spans="1:26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 spans="1:26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 spans="1:26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 spans="1:26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 spans="1:26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 spans="1:26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 spans="1:26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 spans="1:26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 spans="1:26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 spans="1:26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 spans="1:26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 spans="1:26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 spans="1:26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 spans="1:26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 spans="1:26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 spans="1:26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 spans="1:26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 spans="1:26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 spans="1:26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 spans="1:26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 spans="1:26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 spans="1:26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 spans="1:26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 spans="1:26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 spans="1:26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 spans="1:26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 spans="1:26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 spans="1:26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 spans="1:26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 spans="1:26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 spans="1:26" x14ac:dyDescent="0.2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 spans="1:26" x14ac:dyDescent="0.2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 spans="1:26" x14ac:dyDescent="0.2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 spans="1:26" x14ac:dyDescent="0.2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 spans="1:26" x14ac:dyDescent="0.2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 spans="1:26" x14ac:dyDescent="0.2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 spans="1:26" x14ac:dyDescent="0.2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 spans="1:26" x14ac:dyDescent="0.2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 spans="1:26" x14ac:dyDescent="0.2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 spans="1:26" x14ac:dyDescent="0.2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 spans="1:26" x14ac:dyDescent="0.2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 spans="1:26" x14ac:dyDescent="0.2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 spans="1:26" x14ac:dyDescent="0.2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 spans="1:26" x14ac:dyDescent="0.2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 spans="1:26" x14ac:dyDescent="0.2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 spans="1:26" x14ac:dyDescent="0.2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 spans="1:26" x14ac:dyDescent="0.2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 spans="1:26" x14ac:dyDescent="0.2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 spans="1:26" x14ac:dyDescent="0.2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 spans="1:26" x14ac:dyDescent="0.2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 spans="1:26" x14ac:dyDescent="0.2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 spans="1:26" x14ac:dyDescent="0.2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 spans="1:26" x14ac:dyDescent="0.2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 spans="1:26" x14ac:dyDescent="0.2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 spans="1:26" x14ac:dyDescent="0.2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 spans="1:26" x14ac:dyDescent="0.2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 spans="1:26" x14ac:dyDescent="0.2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 spans="1:26" x14ac:dyDescent="0.2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 spans="1:26" x14ac:dyDescent="0.2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 spans="1:26" x14ac:dyDescent="0.2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 spans="1:26" x14ac:dyDescent="0.2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 spans="1:26" x14ac:dyDescent="0.2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 spans="1:26" x14ac:dyDescent="0.2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 spans="1:26" x14ac:dyDescent="0.2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 spans="1:26" x14ac:dyDescent="0.2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 spans="1:26" x14ac:dyDescent="0.2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 spans="1:26" x14ac:dyDescent="0.2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 spans="1:26" x14ac:dyDescent="0.2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 spans="1:26" x14ac:dyDescent="0.2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 spans="1:26" x14ac:dyDescent="0.2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 spans="1:26" x14ac:dyDescent="0.2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 spans="1:26" x14ac:dyDescent="0.2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 spans="1:26" x14ac:dyDescent="0.2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 spans="1:26" x14ac:dyDescent="0.2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15.75" customHeight="1" spans="1:26" x14ac:dyDescent="0.25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</sheetData>
  <mergeCells count="15">
    <mergeCell ref="A1:G1"/>
    <mergeCell ref="A2:G2"/>
    <mergeCell ref="E3:G3"/>
    <mergeCell ref="E4:G4"/>
    <mergeCell ref="A6:D6"/>
    <mergeCell ref="A10:C10"/>
    <mergeCell ref="A11:C11"/>
    <mergeCell ref="A12:C12"/>
    <mergeCell ref="A13:C13"/>
    <mergeCell ref="A16:C16"/>
    <mergeCell ref="B20:C20"/>
    <mergeCell ref="I42:J42"/>
    <mergeCell ref="A50:F50"/>
    <mergeCell ref="E58:G58"/>
    <mergeCell ref="E59:G59"/>
  </mergeCells>
  <printOptions horizontalCentered="1"/>
  <pageMargins left="0.1968503937007874" right="0.1968503937007874" top="0.9055118110236221" bottom="0.984251968503937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設定情報</vt:lpstr>
      <vt:lpstr>表紙</vt:lpstr>
      <vt:lpstr>ライセンス</vt:lpstr>
      <vt:lpstr>保守料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Mizuno</dc:creator>
  <cp:lastModifiedBy>芦 勇虎 Lu Yonghu</cp:lastModifiedBy>
  <dcterms:created xsi:type="dcterms:W3CDTF">2007-02-22T03:00:08Z</dcterms:created>
  <dcterms:modified xsi:type="dcterms:W3CDTF">2026-03-11T08:17:28Z</dcterms:modified>
</cp:coreProperties>
</file>